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2" r:id="rId1"/>
  </sheets>
  <definedNames>
    <definedName name="_xlnm._FilterDatabase" localSheetId="0" hidden="1">Sheet1!$A$1:$AH$1151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<sst xmlns="http://schemas.openxmlformats.org/spreadsheetml/2006/main" count="9836" uniqueCount="237">
  <si>
    <t>Alloy</t>
  </si>
  <si>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</si>
  <si>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</si>
  <si>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</si>
  <si>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</si>
  <si>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</si>
  <si>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</si>
  <si>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</si>
  <si>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</si>
  <si>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</si>
  <si>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</si>
  <si>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</si>
  <si>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</si>
  <si>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Ga</t>
  </si>
  <si>
    <t>Bi</t>
  </si>
  <si>
    <t>Pb</t>
  </si>
  <si>
    <t>B</t>
  </si>
  <si>
    <t>Be</t>
  </si>
  <si>
    <t>Sc</t>
  </si>
  <si>
    <t>Al (min.)</t>
  </si>
  <si>
    <t>S/A Temp</t>
  </si>
  <si>
    <t>Ageing Temp</t>
  </si>
  <si>
    <t>Ageing Time</t>
  </si>
  <si>
    <t>ManufacturingMethod</t>
  </si>
  <si>
    <t>HeatTreatmentMedium</t>
  </si>
  <si>
    <t>StrainHardeningMethod</t>
  </si>
  <si>
    <t>AgeingType</t>
  </si>
  <si>
    <t>TreatmentAfterward</t>
  </si>
  <si>
    <t>ProductionShape</t>
  </si>
  <si>
    <t>Designation</t>
  </si>
  <si>
    <t>YTS</t>
  </si>
  <si>
    <t>UTS</t>
  </si>
  <si>
    <t>EL</t>
  </si>
  <si>
    <t>Reference</t>
  </si>
  <si>
    <t>Drawn</t>
  </si>
  <si>
    <t>Air</t>
  </si>
  <si>
    <t>Work Hardening Level 8</t>
  </si>
  <si>
    <t>No</t>
  </si>
  <si>
    <t>Wire</t>
  </si>
  <si>
    <t>H18</t>
  </si>
  <si>
    <t>N/A</t>
  </si>
  <si>
    <r>
      <rPr>
        <sz val="11"/>
        <color rgb="FF000000"/>
        <rFont val="Times New Roman"/>
        <charset val="134"/>
      </rPr>
      <t>Brandes, E. and Brook, G., 1998. </t>
    </r>
    <r>
      <rPr>
        <i/>
        <sz val="11"/>
        <color rgb="FF000000"/>
        <rFont val="Times New Roman"/>
        <charset val="134"/>
      </rPr>
      <t>Smithells Light Metals Handbook</t>
    </r>
    <r>
      <rPr>
        <sz val="11"/>
        <color rgb="FF000000"/>
        <rFont val="Times New Roman"/>
        <charset val="134"/>
      </rPr>
      <t>. Oxford [England]: Butterworth-Heinemann.</t>
    </r>
  </si>
  <si>
    <t>Rolled</t>
  </si>
  <si>
    <t>Sheet</t>
  </si>
  <si>
    <t>Extruded</t>
  </si>
  <si>
    <t>Tube</t>
  </si>
  <si>
    <t>Work Hardening Level 4</t>
  </si>
  <si>
    <t>H14</t>
  </si>
  <si>
    <t>Work Hardening Level 1</t>
  </si>
  <si>
    <t>H111</t>
  </si>
  <si>
    <t>Furnace</t>
  </si>
  <si>
    <t>Bar</t>
  </si>
  <si>
    <t>F</t>
  </si>
  <si>
    <t>Wrought</t>
  </si>
  <si>
    <r>
      <rPr>
        <sz val="11"/>
        <color rgb="FF000000"/>
        <rFont val="Times New Roman"/>
        <charset val="134"/>
      </rPr>
      <t>Davis, J., 1993. </t>
    </r>
    <r>
      <rPr>
        <i/>
        <sz val="11"/>
        <color rgb="FF000000"/>
        <rFont val="Times New Roman"/>
        <charset val="134"/>
      </rPr>
      <t>Aluminum And Aluminum Alloys</t>
    </r>
    <r>
      <rPr>
        <sz val="11"/>
        <color rgb="FF000000"/>
        <rFont val="Times New Roman"/>
        <charset val="134"/>
      </rPr>
      <t>. Materials Park, OH: ASM International.</t>
    </r>
  </si>
  <si>
    <t>Work Hardening Level 6</t>
  </si>
  <si>
    <t>H16</t>
  </si>
  <si>
    <t>O</t>
  </si>
  <si>
    <r>
      <rPr>
        <sz val="11"/>
        <color rgb="FF000000"/>
        <rFont val="Times New Roman"/>
        <charset val="134"/>
      </rPr>
      <t>Davis, J., 1993. </t>
    </r>
    <r>
      <rPr>
        <i/>
        <sz val="11"/>
        <color theme="1"/>
        <rFont val="Times New Roman"/>
        <charset val="134"/>
      </rPr>
      <t>Aluminum And Aluminum Alloys</t>
    </r>
    <r>
      <rPr>
        <sz val="11"/>
        <color theme="1"/>
        <rFont val="Times New Roman"/>
        <charset val="134"/>
      </rPr>
      <t>. Materials Park, OH: ASM International.</t>
    </r>
  </si>
  <si>
    <t>Plate</t>
  </si>
  <si>
    <r>
      <rPr>
        <sz val="11"/>
        <color rgb="FF000000"/>
        <rFont val="Times New Roman"/>
        <charset val="134"/>
      </rPr>
      <t>El-Danaf, E., 2008. Mechanical properties and microstructure evolution of 1050 aluminum severely deformed by ECAP to 16 passes.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487(1-2), pp.189-200.</t>
    </r>
  </si>
  <si>
    <t>Partial Annealed</t>
  </si>
  <si>
    <t>H24</t>
  </si>
  <si>
    <r>
      <rPr>
        <sz val="11"/>
        <color rgb="FF000000"/>
        <rFont val="Times New Roman"/>
        <charset val="134"/>
      </rPr>
      <t>Fujii, H., Cui, L., Maeda, M. and Nogi, K., 2006. Effect of tool shape on mechanical properties and microstructure of friction stir welded aluminum alloys.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419(1-2), pp.25-31.</t>
    </r>
  </si>
  <si>
    <t>Liu, H., Fujii, H., Maeda, M. and Nogi, K., 2003. Tensile properties and fracture locations of friction-stir welded joints of 1050-H24 aluminum alloy. Journal of Materials Science Letters, 22, pp.41-43.</t>
  </si>
  <si>
    <t>Work Hardening Level 2</t>
  </si>
  <si>
    <t>H12</t>
  </si>
  <si>
    <t>HT Work Hardening</t>
  </si>
  <si>
    <t>H112</t>
  </si>
  <si>
    <t>Rod</t>
  </si>
  <si>
    <t>Foil</t>
  </si>
  <si>
    <t>H26</t>
  </si>
  <si>
    <t>H22</t>
  </si>
  <si>
    <t>Water</t>
  </si>
  <si>
    <t>Artificial</t>
  </si>
  <si>
    <t>T1</t>
  </si>
  <si>
    <r>
      <rPr>
        <sz val="11"/>
        <color rgb="FF000000"/>
        <rFont val="Times New Roman"/>
        <charset val="134"/>
      </rPr>
      <t>Bird, R., Dicus, D., Fridlyander, I. and Sandler, V., 2000. Al-Li Alloy 1441 for Fuselage Applications. </t>
    </r>
    <r>
      <rPr>
        <i/>
        <sz val="11"/>
        <color rgb="FF000000"/>
        <rFont val="Times New Roman"/>
        <charset val="134"/>
      </rPr>
      <t>Materials Science Forum</t>
    </r>
    <r>
      <rPr>
        <sz val="11"/>
        <color rgb="FF000000"/>
        <rFont val="Times New Roman"/>
        <charset val="134"/>
      </rPr>
      <t>, 331-337, pp.907-912.</t>
    </r>
  </si>
  <si>
    <t>T6</t>
  </si>
  <si>
    <r>
      <rPr>
        <sz val="11"/>
        <color rgb="FF000000"/>
        <rFont val="Times New Roman"/>
        <charset val="134"/>
      </rPr>
      <t>Aalco Metals Ltd, 2005. </t>
    </r>
    <r>
      <rPr>
        <i/>
        <sz val="11"/>
        <color rgb="FF000000"/>
        <rFont val="Times New Roman"/>
        <charset val="134"/>
      </rPr>
      <t>Aluminium Alloys - Aluminium 2011 Properties, Fabrication And Applications</t>
    </r>
    <r>
      <rPr>
        <sz val="11"/>
        <color rgb="FF000000"/>
        <rFont val="Times New Roman"/>
        <charset val="134"/>
      </rPr>
      <t>. Viewed at: https://www.azom.com/article.aspx?ArticleID=2803</t>
    </r>
  </si>
  <si>
    <t>Work Hardening</t>
  </si>
  <si>
    <t>Natural</t>
  </si>
  <si>
    <t>T3</t>
  </si>
  <si>
    <r>
      <rPr>
        <sz val="11"/>
        <color theme="1"/>
        <rFont val="Times New Roman"/>
        <charset val="134"/>
      </rPr>
      <t xml:space="preserve">Aalco Metals Ltd, 2016. </t>
    </r>
    <r>
      <rPr>
        <i/>
        <sz val="11"/>
        <color theme="1"/>
        <rFont val="Times New Roman"/>
        <charset val="134"/>
      </rPr>
      <t>Aluminium Alloy 2011 T3 Rod and Bar</t>
    </r>
    <r>
      <rPr>
        <sz val="11"/>
        <color theme="1"/>
        <rFont val="Times New Roman"/>
        <charset val="134"/>
      </rPr>
      <t>. Viewed at http://www.aalco.co.uk/datasheets/Aluminium-Alloy-2011-T4-Rod-and-Bar_3.ashx</t>
    </r>
  </si>
  <si>
    <t>T8</t>
  </si>
  <si>
    <t>Stretch</t>
  </si>
  <si>
    <t>T451</t>
  </si>
  <si>
    <t>T4</t>
  </si>
  <si>
    <r>
      <rPr>
        <sz val="11"/>
        <color theme="1"/>
        <rFont val="Times New Roman"/>
        <charset val="134"/>
      </rPr>
      <t xml:space="preserve">Interlloy. n.d. </t>
    </r>
    <r>
      <rPr>
        <i/>
        <sz val="11"/>
        <color theme="1"/>
        <rFont val="Times New Roman"/>
        <charset val="134"/>
      </rPr>
      <t>2011 Aluminium | Interlloy | Engineering Steels + Alloys</t>
    </r>
    <r>
      <rPr>
        <sz val="11"/>
        <color theme="1"/>
        <rFont val="Times New Roman"/>
        <charset val="134"/>
      </rPr>
      <t>. Viewed at: http://www.interlloy.com.au/our-products/aluminium/2011-aluminium</t>
    </r>
  </si>
  <si>
    <r>
      <rPr>
        <sz val="11"/>
        <color rgb="FF000000"/>
        <rFont val="Times New Roman"/>
        <charset val="134"/>
      </rPr>
      <t>Polmear, I., 2017. </t>
    </r>
    <r>
      <rPr>
        <i/>
        <sz val="11"/>
        <color rgb="FF000000"/>
        <rFont val="Times New Roman"/>
        <charset val="134"/>
      </rPr>
      <t>Light Alloys</t>
    </r>
    <r>
      <rPr>
        <sz val="11"/>
        <color rgb="FF000000"/>
        <rFont val="Times New Roman"/>
        <charset val="134"/>
      </rPr>
      <t>. Oxford: Elsevier/Butterworth-Heinemann.</t>
    </r>
  </si>
  <si>
    <r>
      <rPr>
        <sz val="11"/>
        <color theme="1"/>
        <rFont val="Times New Roman"/>
        <charset val="134"/>
      </rPr>
      <t xml:space="preserve">Smiths Metal Centres Ltd, 2018. </t>
    </r>
    <r>
      <rPr>
        <i/>
        <sz val="11"/>
        <color theme="1"/>
        <rFont val="Times New Roman"/>
        <charset val="134"/>
      </rPr>
      <t>2011 Aluminium Technical Datasheet</t>
    </r>
    <r>
      <rPr>
        <sz val="11"/>
        <color theme="1"/>
        <rFont val="Times New Roman"/>
        <charset val="134"/>
      </rPr>
      <t>. Viewed at https://www.smithmetal.com/pdf/aluminium/2xxx/2011.pdf</t>
    </r>
  </si>
  <si>
    <t>T651</t>
  </si>
  <si>
    <r>
      <rPr>
        <sz val="11"/>
        <rFont val="Times New Roman"/>
        <charset val="134"/>
      </rPr>
      <t>Davis, J., 1993. </t>
    </r>
    <r>
      <rPr>
        <i/>
        <sz val="11"/>
        <rFont val="Times New Roman"/>
        <charset val="134"/>
      </rPr>
      <t>Aluminum And Aluminum Alloys</t>
    </r>
    <r>
      <rPr>
        <sz val="11"/>
        <rFont val="Times New Roman"/>
        <charset val="134"/>
      </rPr>
      <t>. Materials Park, OH: ASM International.</t>
    </r>
  </si>
  <si>
    <r>
      <rPr>
        <sz val="11"/>
        <color rgb="FF000000"/>
        <rFont val="Times New Roman"/>
        <charset val="134"/>
      </rPr>
      <t>Davis, J., 1993. </t>
    </r>
    <r>
      <rPr>
        <i/>
        <sz val="11"/>
        <rFont val="Times New Roman"/>
        <charset val="134"/>
      </rPr>
      <t>Aluminum And Aluminum Alloys</t>
    </r>
    <r>
      <rPr>
        <sz val="11"/>
        <rFont val="Times New Roman"/>
        <charset val="134"/>
      </rPr>
      <t>. Materials Park, OH: ASM International.</t>
    </r>
  </si>
  <si>
    <t>Compression</t>
  </si>
  <si>
    <t>Ring</t>
  </si>
  <si>
    <t>T652</t>
  </si>
  <si>
    <t>Forged</t>
  </si>
  <si>
    <t>Forging</t>
  </si>
  <si>
    <r>
      <rPr>
        <sz val="11"/>
        <color rgb="FF000000"/>
        <rFont val="Times New Roman"/>
        <charset val="134"/>
      </rPr>
      <t>Kaufman, J. G., 1999. </t>
    </r>
    <r>
      <rPr>
        <i/>
        <sz val="11"/>
        <color theme="1"/>
        <rFont val="Times New Roman"/>
        <charset val="134"/>
      </rPr>
      <t>Properties of aluminum alloys: Tensile, creep, and fatigue data at high and low temperatures</t>
    </r>
    <r>
      <rPr>
        <sz val="11"/>
        <color theme="1"/>
        <rFont val="Times New Roman"/>
        <charset val="134"/>
      </rPr>
      <t>. United States.</t>
    </r>
  </si>
  <si>
    <t>Thixoformed</t>
  </si>
  <si>
    <t>Ingot</t>
  </si>
  <si>
    <r>
      <rPr>
        <sz val="11"/>
        <color rgb="FF000000"/>
        <rFont val="Times New Roman"/>
        <charset val="134"/>
      </rPr>
      <t>Liu, D., Atkinson, H., Kapranos, P. and Jones, H., 2004. Effect of heat treatment on properties of thixoformed high performance 2014 and 201 aluminium alloys.</t>
    </r>
    <r>
      <rPr>
        <i/>
        <sz val="11"/>
        <color theme="1"/>
        <rFont val="Times New Roman"/>
        <charset val="134"/>
      </rPr>
      <t xml:space="preserve"> Journal of Materials Science</t>
    </r>
    <r>
      <rPr>
        <sz val="11"/>
        <color theme="1"/>
        <rFont val="Times New Roman"/>
        <charset val="134"/>
      </rPr>
      <t>, 39(1), pp.99-105.</t>
    </r>
  </si>
  <si>
    <r>
      <rPr>
        <sz val="11"/>
        <color rgb="FF000000"/>
        <rFont val="Times New Roman"/>
        <charset val="134"/>
      </rPr>
      <t>Lumley, R., Polmear, I. and Morton, A., 2003. Interrupted aging and secondary precipitation in aluminium alloys. </t>
    </r>
    <r>
      <rPr>
        <i/>
        <sz val="11"/>
        <color rgb="FF000000"/>
        <rFont val="Times New Roman"/>
        <charset val="134"/>
      </rPr>
      <t>Materials Science and Technology</t>
    </r>
    <r>
      <rPr>
        <sz val="11"/>
        <color rgb="FF000000"/>
        <rFont val="Times New Roman"/>
        <charset val="134"/>
      </rPr>
      <t>, 19(11), pp.1483-1490.</t>
    </r>
  </si>
  <si>
    <r>
      <rPr>
        <sz val="11"/>
        <color rgb="FF000000"/>
        <rFont val="Times New Roman"/>
        <charset val="134"/>
      </rPr>
      <t xml:space="preserve">Singh, S. and Goel, D., 1990. Influence of thermomechanical ageing on tensile properties of 2014 aluminium alloy. </t>
    </r>
    <r>
      <rPr>
        <i/>
        <sz val="11"/>
        <color theme="1"/>
        <rFont val="Times New Roman"/>
        <charset val="134"/>
      </rPr>
      <t>Journal of Materials Science</t>
    </r>
    <r>
      <rPr>
        <sz val="11"/>
        <color theme="1"/>
        <rFont val="Times New Roman"/>
        <charset val="134"/>
      </rPr>
      <t>, 25(9), pp.3894-3900.</t>
    </r>
  </si>
  <si>
    <r>
      <rPr>
        <sz val="11"/>
        <color rgb="FF000000"/>
        <rFont val="Times New Roman"/>
        <charset val="134"/>
      </rPr>
      <t>Tanner, D. and Robinson, J., 2008. Reducing residual stress in 2014 aluminium alloy die forgings. </t>
    </r>
    <r>
      <rPr>
        <i/>
        <sz val="11"/>
        <color rgb="FF000000"/>
        <rFont val="Times New Roman"/>
        <charset val="134"/>
      </rPr>
      <t>Materials &amp; Design</t>
    </r>
    <r>
      <rPr>
        <sz val="11"/>
        <color rgb="FF000000"/>
        <rFont val="Times New Roman"/>
        <charset val="134"/>
      </rPr>
      <t>, 29(7), pp.1489-1496.</t>
    </r>
  </si>
  <si>
    <t>Zhang, X.M., Song, M., Zhou, Z.P., Zeng, S.M., 2000. Microstructures and mechanical properties of 2014 aluminium alloyforgings made by a new process. Trans. Nonferrous Met. Soc. China, 10(2), pp.139-143</t>
  </si>
  <si>
    <r>
      <rPr>
        <sz val="11"/>
        <color rgb="FF000000"/>
        <rFont val="Times New Roman"/>
        <charset val="134"/>
      </rPr>
      <t>Tokisue, H., Katoh, K., Asahina, T. and Usiyama, T., 2006. Mechanical Properties of 5052/2017 Dissimilar Aluminum Alloys Deposit by Friction Surfacing. </t>
    </r>
    <r>
      <rPr>
        <i/>
        <sz val="11"/>
        <color rgb="FF000000"/>
        <rFont val="Times New Roman"/>
        <charset val="134"/>
      </rPr>
      <t>MATERIALS TRANSACTIONS</t>
    </r>
    <r>
      <rPr>
        <sz val="11"/>
        <color rgb="FF000000"/>
        <rFont val="Times New Roman"/>
        <charset val="134"/>
      </rPr>
      <t>, 47(3), pp.874-882.</t>
    </r>
  </si>
  <si>
    <r>
      <rPr>
        <sz val="11"/>
        <color rgb="FF000000"/>
        <rFont val="Times New Roman"/>
        <charset val="134"/>
      </rPr>
      <t xml:space="preserve">Alcoa, n.d. </t>
    </r>
    <r>
      <rPr>
        <i/>
        <sz val="11"/>
        <color theme="1"/>
        <rFont val="Times New Roman"/>
        <charset val="134"/>
      </rPr>
      <t>2024 Aluminum Alloy Sheet and Plate</t>
    </r>
    <r>
      <rPr>
        <sz val="11"/>
        <color theme="1"/>
        <rFont val="Times New Roman"/>
        <charset val="134"/>
      </rPr>
      <t>. Viewed at https://datasheets.globalspec.com/ds/3794/AlcoaNorthAmericanRolledProducts/39945A16-733B-4A20-AFF0-C05992E1AA26</t>
    </r>
  </si>
  <si>
    <t>Cryrolling</t>
  </si>
  <si>
    <r>
      <rPr>
        <sz val="11"/>
        <color rgb="FF000000"/>
        <rFont val="Times New Roman"/>
        <charset val="134"/>
      </rPr>
      <t>Araghchi, M., Mansouri, H., Vafaei, R. and Guo, Y., 2018. Optimization of the Mechanical Properties and Residual Stresses in 2024 Aluminum Alloy Through Heat Treatment. </t>
    </r>
    <r>
      <rPr>
        <i/>
        <sz val="11"/>
        <color rgb="FF000000"/>
        <rFont val="Times New Roman"/>
        <charset val="134"/>
      </rPr>
      <t>Journal of Materials Engineering and Performance</t>
    </r>
    <r>
      <rPr>
        <sz val="11"/>
        <color rgb="FF000000"/>
        <rFont val="Times New Roman"/>
        <charset val="134"/>
      </rPr>
      <t>, 27(7), pp.3234-3238.</t>
    </r>
  </si>
  <si>
    <r>
      <rPr>
        <sz val="11"/>
        <color theme="1"/>
        <rFont val="Times New Roman"/>
        <charset val="134"/>
      </rPr>
      <t xml:space="preserve">Bauccio, M., 1993. </t>
    </r>
    <r>
      <rPr>
        <i/>
        <sz val="11"/>
        <color theme="1"/>
        <rFont val="Times New Roman"/>
        <charset val="134"/>
      </rPr>
      <t>ASM Metals Reference Book</t>
    </r>
    <r>
      <rPr>
        <sz val="11"/>
        <color theme="1"/>
        <rFont val="Times New Roman"/>
        <charset val="134"/>
      </rPr>
      <t>. Materials Park, OH: ASM International.</t>
    </r>
  </si>
  <si>
    <t>T351</t>
  </si>
  <si>
    <r>
      <rPr>
        <sz val="11"/>
        <color rgb="FF000000"/>
        <rFont val="Times New Roman"/>
        <charset val="134"/>
      </rPr>
      <t>Bron, F., Besson, J. and Pineau, A., 2004. Ductile rupture in thin sheets of two grades of 2024 aluminum alloy.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380(1-2), pp.356-364.</t>
    </r>
  </si>
  <si>
    <r>
      <rPr>
        <sz val="11"/>
        <color rgb="FF000000"/>
        <rFont val="Times New Roman"/>
        <charset val="134"/>
      </rPr>
      <t>Cheng, S., Zhao, Y., Zhu, Y. and Ma, E., 2007. Optimizing the strength and ductility of fine structured 2024 Al alloy by nano-precipitation. </t>
    </r>
    <r>
      <rPr>
        <i/>
        <sz val="11"/>
        <color rgb="FF000000"/>
        <rFont val="Times New Roman"/>
        <charset val="134"/>
      </rPr>
      <t>Acta Materialia</t>
    </r>
    <r>
      <rPr>
        <sz val="11"/>
        <color rgb="FF000000"/>
        <rFont val="Times New Roman"/>
        <charset val="134"/>
      </rPr>
      <t>, 55(17), pp.5822-5832.</t>
    </r>
  </si>
  <si>
    <t>6% Work Hardening</t>
  </si>
  <si>
    <t>T86</t>
  </si>
  <si>
    <t>T36</t>
  </si>
  <si>
    <t>T851</t>
  </si>
  <si>
    <t>Overageing</t>
  </si>
  <si>
    <t>T7</t>
  </si>
  <si>
    <r>
      <rPr>
        <sz val="11"/>
        <color theme="1"/>
        <rFont val="Times New Roman"/>
        <charset val="134"/>
      </rPr>
      <t>Fujda, M., Misicko, R., Rusnakova, L., Sojko, M., 2007. Effect of Solution Annealing Temperature on Structure and Mechanical Properties of EN AW 2024 Aluminium Alloy.</t>
    </r>
    <r>
      <rPr>
        <i/>
        <sz val="11"/>
        <color theme="1"/>
        <rFont val="Times New Roman"/>
        <charset val="134"/>
      </rPr>
      <t xml:space="preserve"> Journal of Metals, Materials and Minerals</t>
    </r>
    <r>
      <rPr>
        <sz val="11"/>
        <color theme="1"/>
        <rFont val="Times New Roman"/>
        <charset val="134"/>
      </rPr>
      <t>, 17(1), pp.35-40.</t>
    </r>
  </si>
  <si>
    <r>
      <rPr>
        <sz val="11"/>
        <color rgb="FF000000"/>
        <rFont val="Times New Roman"/>
        <charset val="134"/>
      </rPr>
      <t>Goodarzy, M., Arabi, H., Boutorabi, M., Seyedein, S. and Hasani Najafabadi, S., 2014. The effects of room temperature ECAP and subsequent aging on mechanical properties of 2024 Al alloy. </t>
    </r>
    <r>
      <rPr>
        <i/>
        <sz val="11"/>
        <color rgb="FF000000"/>
        <rFont val="Times New Roman"/>
        <charset val="134"/>
      </rPr>
      <t>Journal of Alloys and Compounds</t>
    </r>
    <r>
      <rPr>
        <sz val="11"/>
        <color rgb="FF000000"/>
        <rFont val="Times New Roman"/>
        <charset val="134"/>
      </rPr>
      <t>, 585, pp.753-759.</t>
    </r>
  </si>
  <si>
    <r>
      <rPr>
        <sz val="11"/>
        <color rgb="FF000000"/>
        <rFont val="Times New Roman"/>
        <charset val="134"/>
      </rPr>
      <t>GUO, H., YANG, X. and ZHANG, M., 2008. Microstructure characteristics and mechanical properties of rheoformed wrought aluminum alloy 2024. </t>
    </r>
    <r>
      <rPr>
        <i/>
        <sz val="11"/>
        <color rgb="FF000000"/>
        <rFont val="Times New Roman"/>
        <charset val="134"/>
      </rPr>
      <t>Transactions of Nonferrous Metals Society of China</t>
    </r>
    <r>
      <rPr>
        <sz val="11"/>
        <color rgb="FF000000"/>
        <rFont val="Times New Roman"/>
        <charset val="134"/>
      </rPr>
      <t>, 18(3), pp.555-561.</t>
    </r>
  </si>
  <si>
    <r>
      <rPr>
        <sz val="11"/>
        <color rgb="FF000000"/>
        <rFont val="Times New Roman"/>
        <charset val="134"/>
      </rPr>
      <t>Horita, Z., Fujinami, T., Nemoto, M. and Langdon, T., 2001. Improvement of mechanical properties for Al alloys using equal-channel angular pressing. </t>
    </r>
    <r>
      <rPr>
        <i/>
        <sz val="11"/>
        <color rgb="FF000000"/>
        <rFont val="Times New Roman"/>
        <charset val="134"/>
      </rPr>
      <t>Journal of Materials Processing Technology</t>
    </r>
    <r>
      <rPr>
        <sz val="11"/>
        <color rgb="FF000000"/>
        <rFont val="Times New Roman"/>
        <charset val="134"/>
      </rPr>
      <t>, 117(3), pp.288-292.</t>
    </r>
  </si>
  <si>
    <r>
      <rPr>
        <sz val="11"/>
        <color rgb="FF000000"/>
        <rFont val="Times New Roman"/>
        <charset val="134"/>
      </rPr>
      <t>Kim, W., Chung, C., Ma, D., Hong, S. and Kim, H., 2003. Optimization of strength and ductility of 2024 Al by equal channel angular pressing (ECAP) and post-ECAP aging. </t>
    </r>
    <r>
      <rPr>
        <i/>
        <sz val="11"/>
        <color rgb="FF000000"/>
        <rFont val="Times New Roman"/>
        <charset val="134"/>
      </rPr>
      <t>Scripta Materialia</t>
    </r>
    <r>
      <rPr>
        <sz val="11"/>
        <color rgb="FF000000"/>
        <rFont val="Times New Roman"/>
        <charset val="134"/>
      </rPr>
      <t>, 49(4), pp.333-338.</t>
    </r>
  </si>
  <si>
    <r>
      <rPr>
        <sz val="11"/>
        <color rgb="FF000000"/>
        <rFont val="Times New Roman"/>
        <charset val="134"/>
      </rPr>
      <t>Mao, J., Kang, S. and Park, J., 2005. Grain refinement, thermal stability and tensile properties of 2024 aluminum alloy after equal-channel angular pressing. </t>
    </r>
    <r>
      <rPr>
        <i/>
        <sz val="11"/>
        <color rgb="FF000000"/>
        <rFont val="Times New Roman"/>
        <charset val="134"/>
      </rPr>
      <t>Journal of Materials Processing Technology</t>
    </r>
    <r>
      <rPr>
        <sz val="11"/>
        <color rgb="FF000000"/>
        <rFont val="Times New Roman"/>
        <charset val="134"/>
      </rPr>
      <t>, 159(3), pp.314-320.</t>
    </r>
  </si>
  <si>
    <r>
      <rPr>
        <sz val="11"/>
        <color rgb="FF000000"/>
        <rFont val="Times New Roman"/>
        <charset val="134"/>
      </rPr>
      <t>Meriç, C., 2000. Physical and mechanical properties of cast under vacuum aluminum alloy 2024 containing lithium additions. </t>
    </r>
    <r>
      <rPr>
        <i/>
        <sz val="11"/>
        <color rgb="FF000000"/>
        <rFont val="Times New Roman"/>
        <charset val="134"/>
      </rPr>
      <t>Materials Research Bulletin</t>
    </r>
    <r>
      <rPr>
        <sz val="11"/>
        <color rgb="FF000000"/>
        <rFont val="Times New Roman"/>
        <charset val="134"/>
      </rPr>
      <t>, 35(9), pp.1479-1494.</t>
    </r>
  </si>
  <si>
    <r>
      <rPr>
        <sz val="11"/>
        <color rgb="FF000000"/>
        <rFont val="Times New Roman"/>
        <charset val="134"/>
      </rPr>
      <t xml:space="preserve">Metal Suppliers Online, n.d. </t>
    </r>
    <r>
      <rPr>
        <i/>
        <sz val="11"/>
        <color theme="1"/>
        <rFont val="Times New Roman"/>
        <charset val="134"/>
      </rPr>
      <t>2024 Aluminum Material Property Data Sheet</t>
    </r>
    <r>
      <rPr>
        <sz val="11"/>
        <color theme="1"/>
        <rFont val="Times New Roman"/>
        <charset val="134"/>
      </rPr>
      <t>. Viewed at https://www.suppliersonline.com/propertypages/2024.asp</t>
    </r>
  </si>
  <si>
    <r>
      <rPr>
        <sz val="11"/>
        <color rgb="FF000000"/>
        <rFont val="Times New Roman"/>
        <charset val="134"/>
      </rPr>
      <t>Prudhomme, M., Billy, F., Alexis, J., Benoit, G., Hamon, F., Larignon, C., Odemer, G., Blanc, C. and Hénaff, G., 2018. Effect of actual and accelerated ageing on microstructure evolution and mechanical properties of a 2024-T351 aluminium alloy. </t>
    </r>
    <r>
      <rPr>
        <i/>
        <sz val="11"/>
        <color rgb="FF000000"/>
        <rFont val="Times New Roman"/>
        <charset val="134"/>
      </rPr>
      <t>International Journal of Fatigue</t>
    </r>
    <r>
      <rPr>
        <sz val="11"/>
        <color rgb="FF000000"/>
        <rFont val="Times New Roman"/>
        <charset val="134"/>
      </rPr>
      <t>, 107, pp.60-71.</t>
    </r>
  </si>
  <si>
    <r>
      <rPr>
        <sz val="11"/>
        <color rgb="FF000000"/>
        <rFont val="Times New Roman"/>
        <charset val="134"/>
      </rPr>
      <t>Yuan, S., Yeh, J. and Tsau, C., 1999. Improved Microstructures and Mechanical Properties of 2024 Aluminum Alloy Produced by a Reciprocating Extrusion Method. </t>
    </r>
    <r>
      <rPr>
        <i/>
        <sz val="11"/>
        <color rgb="FF000000"/>
        <rFont val="Times New Roman"/>
        <charset val="134"/>
      </rPr>
      <t>Materials Transactions, JIM</t>
    </r>
    <r>
      <rPr>
        <sz val="11"/>
        <color rgb="FF000000"/>
        <rFont val="Times New Roman"/>
        <charset val="134"/>
      </rPr>
      <t>, 40(3), pp.233-241.</t>
    </r>
  </si>
  <si>
    <r>
      <rPr>
        <sz val="11"/>
        <color rgb="FF000000"/>
        <rFont val="Times New Roman"/>
        <charset val="134"/>
      </rPr>
      <t>Srivatsan, T., Lanning, D. and Soni, K., 1993. Microstructure, tensile properties and fracture behaviour of an Al-Cu-Mg alloy 2124. </t>
    </r>
    <r>
      <rPr>
        <i/>
        <sz val="11"/>
        <color rgb="FF000000"/>
        <rFont val="Times New Roman"/>
        <charset val="134"/>
      </rPr>
      <t>Journal of Materials Science</t>
    </r>
    <r>
      <rPr>
        <sz val="11"/>
        <color rgb="FF000000"/>
        <rFont val="Times New Roman"/>
        <charset val="134"/>
      </rPr>
      <t>, 28(12), pp.3205-3213.</t>
    </r>
  </si>
  <si>
    <t>T61</t>
  </si>
  <si>
    <t>7% Work Hardening</t>
  </si>
  <si>
    <t>T87</t>
  </si>
  <si>
    <t>T852</t>
  </si>
  <si>
    <t>T37</t>
  </si>
  <si>
    <t>T31</t>
  </si>
  <si>
    <r>
      <rPr>
        <sz val="11"/>
        <color rgb="FF000000"/>
        <rFont val="Times New Roman"/>
        <charset val="134"/>
      </rPr>
      <t>Raza, M., Ahmad, F., Ikram, N., Ahmad, R. and Salam, A., 2011. Development and Strengthening of 2219 Aluminium Alloy by Mechanical Working and Heat Treatment. </t>
    </r>
    <r>
      <rPr>
        <i/>
        <sz val="11"/>
        <color rgb="FF000000"/>
        <rFont val="Times New Roman"/>
        <charset val="134"/>
      </rPr>
      <t>Journal of Applied Sciences</t>
    </r>
    <r>
      <rPr>
        <sz val="11"/>
        <color rgb="FF000000"/>
        <rFont val="Times New Roman"/>
        <charset val="134"/>
      </rPr>
      <t>, 11(10), pp.1857-1861.</t>
    </r>
  </si>
  <si>
    <r>
      <rPr>
        <sz val="11"/>
        <color rgb="FF000000"/>
        <rFont val="Times New Roman"/>
        <charset val="134"/>
      </rPr>
      <t>LI, H., LIANG, X., LI, F., GUO, F., LI, Z. and ZHANG, X., 2007. Effect of Y content on microstructure and mechanical properties of 2519 aluminum alloy. </t>
    </r>
    <r>
      <rPr>
        <i/>
        <sz val="11"/>
        <color rgb="FF000000"/>
        <rFont val="Times New Roman"/>
        <charset val="134"/>
      </rPr>
      <t>Transactions of Nonferrous Metals Society of China</t>
    </r>
    <r>
      <rPr>
        <sz val="11"/>
        <color rgb="FF000000"/>
        <rFont val="Times New Roman"/>
        <charset val="134"/>
      </rPr>
      <t>, 17(6), pp.1194-1198.</t>
    </r>
  </si>
  <si>
    <r>
      <rPr>
        <sz val="11"/>
        <color rgb="FF000000"/>
        <rFont val="Times New Roman"/>
        <charset val="134"/>
      </rPr>
      <t>Wang, W., Zhang, X., Gao, Z., Jia, Y., Ye, L., Zheng, D. and Liu, L., 2010. Influences of Ce addition on the microstructures and mechanical properties of 2519A aluminum alloy plate. </t>
    </r>
    <r>
      <rPr>
        <i/>
        <sz val="11"/>
        <color rgb="FF000000"/>
        <rFont val="Times New Roman"/>
        <charset val="134"/>
      </rPr>
      <t>Journal of Alloys and Compounds</t>
    </r>
    <r>
      <rPr>
        <sz val="11"/>
        <color rgb="FF000000"/>
        <rFont val="Times New Roman"/>
        <charset val="134"/>
      </rPr>
      <t>, 491(1-2), pp.366-371.</t>
    </r>
  </si>
  <si>
    <r>
      <rPr>
        <sz val="11"/>
        <color rgb="FF000000"/>
        <rFont val="Times New Roman"/>
        <charset val="134"/>
      </rPr>
      <t>Tack, W. and Hansson, I., 1997. </t>
    </r>
    <r>
      <rPr>
        <i/>
        <sz val="11"/>
        <color rgb="FF000000"/>
        <rFont val="Times New Roman"/>
        <charset val="134"/>
      </rPr>
      <t>Aluminum Alloys Containing Scandium With Zirconium Additions.</t>
    </r>
    <r>
      <rPr>
        <sz val="11"/>
        <color rgb="FF000000"/>
        <rFont val="Times New Roman"/>
        <charset val="134"/>
      </rPr>
      <t xml:space="preserve"> US5620652A.</t>
    </r>
  </si>
  <si>
    <r>
      <rPr>
        <sz val="11"/>
        <color rgb="FF000000"/>
        <rFont val="Times New Roman"/>
        <charset val="134"/>
      </rPr>
      <t>Yu, K., Li, W., Li, S. and Zhao, J., 2004. Mechanical properties and microstructure of aluminum alloy 2618 with Al3(Sc, Zr) phases.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368(1-2), pp.88-93.</t>
    </r>
  </si>
  <si>
    <r>
      <rPr>
        <sz val="11"/>
        <color rgb="FF000000"/>
        <rFont val="Times New Roman"/>
        <charset val="134"/>
      </rPr>
      <t>Huang, H., Ou, B. and Tsai, C., 2008. Effect of Homogenization on Recrystallization and Precipitation Behavior of 3003 Aluminum Alloy. </t>
    </r>
    <r>
      <rPr>
        <i/>
        <sz val="11"/>
        <color rgb="FF000000"/>
        <rFont val="Times New Roman"/>
        <charset val="134"/>
      </rPr>
      <t>MATERIALS TRANSACTIONS</t>
    </r>
    <r>
      <rPr>
        <sz val="11"/>
        <color rgb="FF000000"/>
        <rFont val="Times New Roman"/>
        <charset val="134"/>
      </rPr>
      <t>, 49(2), pp.250-259.</t>
    </r>
  </si>
  <si>
    <r>
      <rPr>
        <sz val="11"/>
        <color rgb="FF000000"/>
        <rFont val="Times New Roman"/>
        <charset val="134"/>
      </rPr>
      <t>Kong, C., Soar, R. and Dickens, P., 2004. Ultrasonic consolidation for embedding SMA fibres within aluminium matrices. </t>
    </r>
    <r>
      <rPr>
        <i/>
        <sz val="11"/>
        <color rgb="FF000000"/>
        <rFont val="Times New Roman"/>
        <charset val="134"/>
      </rPr>
      <t>Composite Structures</t>
    </r>
    <r>
      <rPr>
        <sz val="11"/>
        <color rgb="FF000000"/>
        <rFont val="Times New Roman"/>
        <charset val="134"/>
      </rPr>
      <t>, 66(1-4), pp.421-427.</t>
    </r>
  </si>
  <si>
    <r>
      <rPr>
        <sz val="11"/>
        <color rgb="FF000000"/>
        <rFont val="Times New Roman"/>
        <charset val="134"/>
      </rPr>
      <t>Menzemer, C., Ortiz-Morgado, R., Iascone, R. and Srivatsan, T., 2002. An investigation of the bearing strength of three aluminum alloys.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327(2), pp.203-212.</t>
    </r>
  </si>
  <si>
    <r>
      <rPr>
        <sz val="11"/>
        <color rgb="FF000000"/>
        <rFont val="Times New Roman"/>
        <charset val="134"/>
      </rPr>
      <t>Movahedi, M., Madaah-Hosseini, H. and Kokabi, A., 2008. The influence of roll bonding parameters on the bond strength of Al-3003/Zn soldering sheets.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487(1-2), pp.417-423.</t>
    </r>
  </si>
  <si>
    <r>
      <rPr>
        <sz val="11"/>
        <color rgb="FF222222"/>
        <rFont val="Times New Roman"/>
        <charset val="134"/>
      </rPr>
      <t>Xing, Z.P., Kang, S.B. and Kim, H.W., 2002. Structure and properties of AA3003 alloy produced by accumulative roll bonding process. </t>
    </r>
    <r>
      <rPr>
        <i/>
        <sz val="11"/>
        <color rgb="FF222222"/>
        <rFont val="Times New Roman"/>
        <charset val="134"/>
      </rPr>
      <t>Journal of materials science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37</t>
    </r>
    <r>
      <rPr>
        <sz val="11"/>
        <color rgb="FF222222"/>
        <rFont val="Times New Roman"/>
        <charset val="134"/>
      </rPr>
      <t>(4), pp.717-722.</t>
    </r>
  </si>
  <si>
    <r>
      <rPr>
        <sz val="11"/>
        <color rgb="FF000000"/>
        <rFont val="Times New Roman"/>
        <charset val="134"/>
      </rPr>
      <t>Yu, H., Xu, Z., Fan, Z., Zhao, Z. and Li, C., 2013. Mechanical property and microstructure of aluminum alloy-steel tubes joint by magnetic pulse welding. </t>
    </r>
    <r>
      <rPr>
        <i/>
        <sz val="11"/>
        <color rgb="FF000000"/>
        <rFont val="Times New Roman"/>
        <charset val="134"/>
      </rPr>
      <t>Materials Science and Engineering: A</t>
    </r>
    <r>
      <rPr>
        <sz val="11"/>
        <color rgb="FF000000"/>
        <rFont val="Times New Roman"/>
        <charset val="134"/>
      </rPr>
      <t>, 561, pp.259-265.</t>
    </r>
  </si>
  <si>
    <r>
      <rPr>
        <sz val="11"/>
        <color rgb="FF000000"/>
        <rFont val="Times New Roman"/>
        <charset val="134"/>
      </rPr>
      <t>Zhu, M., Ding, D., Gao, Y., Chen, G., LI, M. and Mao, D., 2010. Effect of Zn content on tensile and electrochemical properties of 3003 Al alloy. </t>
    </r>
    <r>
      <rPr>
        <i/>
        <sz val="11"/>
        <color rgb="FF000000"/>
        <rFont val="Times New Roman"/>
        <charset val="134"/>
      </rPr>
      <t>Transactions of Nonferrous Metals Society of China</t>
    </r>
    <r>
      <rPr>
        <sz val="11"/>
        <color rgb="FF000000"/>
        <rFont val="Times New Roman"/>
        <charset val="134"/>
      </rPr>
      <t>, 20(11), pp.2118-2123.</t>
    </r>
  </si>
  <si>
    <t>Stablized</t>
  </si>
  <si>
    <t>H38</t>
  </si>
  <si>
    <t>H36</t>
  </si>
  <si>
    <t>H34</t>
  </si>
  <si>
    <t>H32</t>
  </si>
  <si>
    <t>10</t>
  </si>
  <si>
    <r>
      <rPr>
        <sz val="11"/>
        <color rgb="FF000000"/>
        <rFont val="Times New Roman"/>
        <charset val="134"/>
      </rPr>
      <t>Rao, K., Doraivelu, S., Roshan, H. and Prasad, Y., 1983. Deformation processing of an aluminum alloy containing particles: Studies on AI-5 pct Si alloy 4043. </t>
    </r>
    <r>
      <rPr>
        <i/>
        <sz val="11"/>
        <color rgb="FF000000"/>
        <rFont val="Times New Roman"/>
        <charset val="134"/>
      </rPr>
      <t>Metallurgical Transactions A</t>
    </r>
    <r>
      <rPr>
        <sz val="11"/>
        <color rgb="FF000000"/>
        <rFont val="Times New Roman"/>
        <charset val="134"/>
      </rPr>
      <t>, 14(8), pp.1671-1679.</t>
    </r>
  </si>
  <si>
    <r>
      <rPr>
        <sz val="11"/>
        <color rgb="FF000000"/>
        <rFont val="Times New Roman"/>
        <charset val="134"/>
      </rPr>
      <t>Ravindran, R., Manonmani, K. and Narayanasmay, R., 2009. An analysis of wrinkling limit diagrams of aluminum alloy 5005 annealed at different temperatures. </t>
    </r>
    <r>
      <rPr>
        <i/>
        <sz val="11"/>
        <color rgb="FF000000"/>
        <rFont val="Times New Roman"/>
        <charset val="134"/>
      </rPr>
      <t>International Journal of Material Forming</t>
    </r>
    <r>
      <rPr>
        <sz val="11"/>
        <color rgb="FF000000"/>
        <rFont val="Times New Roman"/>
        <charset val="134"/>
      </rPr>
      <t>, 3(2), pp.103-115.</t>
    </r>
  </si>
  <si>
    <r>
      <rPr>
        <sz val="11"/>
        <color rgb="FF000000"/>
        <rFont val="Times New Roman"/>
        <charset val="134"/>
      </rPr>
      <t>Shuaib, A. and Ahmad, Z., 1992. Evaluation of the Mechanical Properties and Corrosion Resistance of Al-2.5Mg-Cr Alloys. </t>
    </r>
    <r>
      <rPr>
        <i/>
        <sz val="11"/>
        <color rgb="FF000000"/>
        <rFont val="Times New Roman"/>
        <charset val="134"/>
      </rPr>
      <t>Journal of Engineering Materials and Technology</t>
    </r>
    <r>
      <rPr>
        <sz val="11"/>
        <color rgb="FF000000"/>
        <rFont val="Times New Roman"/>
        <charset val="134"/>
      </rPr>
      <t>, 114(1), pp.51-55.</t>
    </r>
  </si>
  <si>
    <r>
      <rPr>
        <sz val="11"/>
        <color rgb="FF000000"/>
        <rFont val="Times New Roman"/>
        <charset val="134"/>
      </rPr>
      <t>Shuaib, A., 2002. Mechanical properties of Al–2.5 Mg–0.1 Mn–Si–Cr–Fe alloys. </t>
    </r>
    <r>
      <rPr>
        <i/>
        <sz val="11"/>
        <color rgb="FF000000"/>
        <rFont val="Times New Roman"/>
        <charset val="134"/>
      </rPr>
      <t>Materials &amp; Design</t>
    </r>
    <r>
      <rPr>
        <sz val="11"/>
        <color rgb="FF000000"/>
        <rFont val="Times New Roman"/>
        <charset val="134"/>
      </rPr>
      <t>, 23(2), pp.181-187.</t>
    </r>
  </si>
  <si>
    <t>H116</t>
  </si>
  <si>
    <r>
      <rPr>
        <sz val="11"/>
        <color rgb="FF222222"/>
        <rFont val="Times New Roman"/>
        <charset val="134"/>
      </rPr>
      <t>Fujii, H., Cui, L., Maeda, M. and Nogi, K., 2006. Effect of tool shape on mechanical properties and microstructure of friction stir welded aluminum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419</t>
    </r>
    <r>
      <rPr>
        <sz val="11"/>
        <color rgb="FF222222"/>
        <rFont val="Times New Roman"/>
        <charset val="134"/>
      </rPr>
      <t>(1-2), pp.25-31.</t>
    </r>
  </si>
  <si>
    <r>
      <rPr>
        <sz val="11"/>
        <color rgb="FF000000"/>
        <rFont val="Times New Roman"/>
        <charset val="134"/>
      </rPr>
      <t>Uematsu, Y., Tokaji, K., Shibata, H., Tozaki, Y. and Ohmune, T., 2009. Fatigue behaviour of friction stir welds without neither welding flash nor flaw in several aluminium alloys. </t>
    </r>
    <r>
      <rPr>
        <i/>
        <sz val="11"/>
        <color rgb="FF222222"/>
        <rFont val="Times New Roman"/>
        <charset val="134"/>
      </rPr>
      <t>International Journal of fatigue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31</t>
    </r>
    <r>
      <rPr>
        <sz val="11"/>
        <color rgb="FF222222"/>
        <rFont val="Times New Roman"/>
        <charset val="134"/>
      </rPr>
      <t>(10), pp.1443-1453.</t>
    </r>
  </si>
  <si>
    <t>H28</t>
  </si>
  <si>
    <t>H31</t>
  </si>
  <si>
    <t>T5</t>
  </si>
  <si>
    <r>
      <rPr>
        <sz val="11"/>
        <color rgb="FF222222"/>
        <rFont val="Times New Roman"/>
        <charset val="134"/>
      </rPr>
      <t>Abubakre, O.K., Mamaki, U.P. and Muriana, R.A., 2009. Investigation of the quenching properties of selected media on 6061 aluminum alloy. </t>
    </r>
    <r>
      <rPr>
        <i/>
        <sz val="11"/>
        <color rgb="FF222222"/>
        <rFont val="Times New Roman"/>
        <charset val="134"/>
      </rPr>
      <t>Journal of Minerals &amp; Materials Characterization &amp; Engineering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8</t>
    </r>
    <r>
      <rPr>
        <sz val="11"/>
        <color rgb="FF222222"/>
        <rFont val="Times New Roman"/>
        <charset val="134"/>
      </rPr>
      <t>(4), pp.303-315.</t>
    </r>
  </si>
  <si>
    <r>
      <rPr>
        <sz val="11"/>
        <color rgb="FF222222"/>
        <rFont val="Times New Roman"/>
        <charset val="134"/>
      </rPr>
      <t>Brandes, E. and Brook, G., 1998. </t>
    </r>
    <r>
      <rPr>
        <i/>
        <sz val="11"/>
        <color rgb="FF000000"/>
        <rFont val="Times New Roman"/>
        <charset val="134"/>
      </rPr>
      <t>Smithells Light Metals Handbook</t>
    </r>
    <r>
      <rPr>
        <sz val="11"/>
        <color rgb="FF000000"/>
        <rFont val="Times New Roman"/>
        <charset val="134"/>
      </rPr>
      <t>. Oxford [England]: Butterworth-Heinemann.</t>
    </r>
  </si>
  <si>
    <r>
      <rPr>
        <sz val="11"/>
        <color rgb="FF222222"/>
        <rFont val="Times New Roman"/>
        <charset val="134"/>
      </rPr>
      <t>Cai, M., Field, D.P. and Lorimer, G.W., 2004. A systematic comparison of static and dynamic ageing of two Al–Mg–Si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373</t>
    </r>
    <r>
      <rPr>
        <sz val="11"/>
        <color rgb="FF222222"/>
        <rFont val="Times New Roman"/>
        <charset val="134"/>
      </rPr>
      <t>(1-2), pp.65-71.</t>
    </r>
  </si>
  <si>
    <r>
      <rPr>
        <sz val="11"/>
        <color rgb="FF222222"/>
        <rFont val="Times New Roman"/>
        <charset val="134"/>
      </rPr>
      <t>Davis, J., 1993. </t>
    </r>
    <r>
      <rPr>
        <i/>
        <sz val="11"/>
        <color rgb="FF000000"/>
        <rFont val="Times New Roman"/>
        <charset val="134"/>
      </rPr>
      <t>Aluminum And Aluminum Alloys</t>
    </r>
    <r>
      <rPr>
        <sz val="11"/>
        <color rgb="FF000000"/>
        <rFont val="Times New Roman"/>
        <charset val="134"/>
      </rPr>
      <t>. Materials Park, OH: ASM International.</t>
    </r>
  </si>
  <si>
    <r>
      <rPr>
        <sz val="11"/>
        <color rgb="FF222222"/>
        <rFont val="Times New Roman"/>
        <charset val="134"/>
      </rPr>
      <t>Farshidi, M.H., Kazeminezhad, M. and Miyamoto, H., 2013. Severe plastic deformation of 6061 aluminum alloy tube with pre and post heat treatments.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563</t>
    </r>
    <r>
      <rPr>
        <sz val="11"/>
        <color rgb="FF222222"/>
        <rFont val="Times New Roman"/>
        <charset val="134"/>
      </rPr>
      <t>, pp.60-67.</t>
    </r>
  </si>
  <si>
    <r>
      <rPr>
        <sz val="11"/>
        <color rgb="FF222222"/>
        <rFont val="Times New Roman"/>
        <charset val="134"/>
      </rPr>
      <t>Horita, Z., Fujinami, T., Nemoto, M. and Langdon, T.G., 2001. Improvement of mechanical properties for Al alloys using equal-channel angular pressing. </t>
    </r>
    <r>
      <rPr>
        <i/>
        <sz val="11"/>
        <color rgb="FF222222"/>
        <rFont val="Times New Roman"/>
        <charset val="134"/>
      </rPr>
      <t>Journal of Materials Processing Technology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117</t>
    </r>
    <r>
      <rPr>
        <sz val="11"/>
        <color rgb="FF222222"/>
        <rFont val="Times New Roman"/>
        <charset val="134"/>
      </rPr>
      <t>(3), pp.288-292.</t>
    </r>
  </si>
  <si>
    <r>
      <rPr>
        <sz val="11"/>
        <color rgb="FF222222"/>
        <rFont val="Times New Roman"/>
        <charset val="134"/>
      </rPr>
      <t>Kim, J.K., Jeong, H.G., Hong, S.I., Kim, Y.S. and Kim, W.J., 2001. Effect of aging treatment on heavily deformed microstructure of a 6061 aluminum alloy after equal channel angular pressing. </t>
    </r>
    <r>
      <rPr>
        <i/>
        <sz val="11"/>
        <color rgb="FF222222"/>
        <rFont val="Times New Roman"/>
        <charset val="134"/>
      </rPr>
      <t>Scripta materialia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45</t>
    </r>
    <r>
      <rPr>
        <sz val="11"/>
        <color rgb="FF222222"/>
        <rFont val="Times New Roman"/>
        <charset val="134"/>
      </rPr>
      <t>(8), pp.901-907.</t>
    </r>
  </si>
  <si>
    <r>
      <rPr>
        <sz val="11"/>
        <color rgb="FF000000"/>
        <rFont val="Times New Roman"/>
        <charset val="134"/>
      </rPr>
      <t>Kim, W., Kim, J., Park, T., Hong, S., Kim, D., Kim, Y. and Lee, J., 2002. Enhancement of strength and superplasticity in a 6061 Al alloy processed by equal-channel-angular-pressing. </t>
    </r>
    <r>
      <rPr>
        <i/>
        <sz val="11"/>
        <color rgb="FF000000"/>
        <rFont val="Times New Roman"/>
        <charset val="134"/>
      </rPr>
      <t>Metallurgical and Materials Transactions A</t>
    </r>
    <r>
      <rPr>
        <sz val="11"/>
        <color rgb="FF000000"/>
        <rFont val="Times New Roman"/>
        <charset val="134"/>
      </rPr>
      <t>, 33(10), pp.3155-3164.</t>
    </r>
  </si>
  <si>
    <r>
      <rPr>
        <sz val="11"/>
        <color rgb="FF222222"/>
        <rFont val="Times New Roman"/>
        <charset val="134"/>
      </rPr>
      <t>Kim, W.J., Wang, J.Y., Choi, S.O., Choi, H.J. and Sohn, H.T., 2009. Synthesis of ultra high strength Al–Mg–Si alloy sheets by differential speed rolling.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520</t>
    </r>
    <r>
      <rPr>
        <sz val="11"/>
        <color rgb="FF222222"/>
        <rFont val="Times New Roman"/>
        <charset val="134"/>
      </rPr>
      <t>(1-2), pp.23-28.</t>
    </r>
  </si>
  <si>
    <r>
      <rPr>
        <sz val="11"/>
        <color rgb="FF222222"/>
        <rFont val="Times New Roman"/>
        <charset val="134"/>
      </rPr>
      <t>Lee, S.H., Saito, Y., Sakai, T. and Utsunomiya, H., 2002. Microstructures and mechanical properties of 6061 aluminum alloy processed by accumulative roll-bonding.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325</t>
    </r>
    <r>
      <rPr>
        <sz val="11"/>
        <color rgb="FF222222"/>
        <rFont val="Times New Roman"/>
        <charset val="134"/>
      </rPr>
      <t>(1-2), pp.228-235.</t>
    </r>
  </si>
  <si>
    <r>
      <rPr>
        <sz val="11"/>
        <color rgb="FF222222"/>
        <rFont val="Times New Roman"/>
        <charset val="134"/>
      </rPr>
      <t>Ozturk, F., Sisman, A., Toros, S., Kilic, S. and Picu, R.C., 2010. Influence of aging treatment on mechanical properties of 6061 aluminum alloy. </t>
    </r>
    <r>
      <rPr>
        <i/>
        <sz val="11"/>
        <color rgb="FF222222"/>
        <rFont val="Times New Roman"/>
        <charset val="134"/>
      </rPr>
      <t>Materials &amp; Design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31</t>
    </r>
    <r>
      <rPr>
        <sz val="11"/>
        <color rgb="FF222222"/>
        <rFont val="Times New Roman"/>
        <charset val="134"/>
      </rPr>
      <t>(2), pp.972-975.</t>
    </r>
  </si>
  <si>
    <r>
      <rPr>
        <sz val="11"/>
        <color rgb="FF222222"/>
        <rFont val="Times New Roman"/>
        <charset val="134"/>
      </rPr>
      <t>Perng, C.C., Hwang, J.R. and Doong, J.L., 1993. High strain rate tensile properties of an (Al2O3 particles)-(Al alloy 6061-T6) metal matrix composite.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171</t>
    </r>
    <r>
      <rPr>
        <sz val="11"/>
        <color rgb="FF222222"/>
        <rFont val="Times New Roman"/>
        <charset val="134"/>
      </rPr>
      <t>(1-2), pp.213-221.</t>
    </r>
  </si>
  <si>
    <r>
      <rPr>
        <sz val="11"/>
        <color rgb="FF222222"/>
        <rFont val="Times New Roman"/>
        <charset val="134"/>
      </rPr>
      <t>Zhao, Z., Zhijian, S. and Yingkun, X., 1991. Effect of microstructure on the mechanical properties of an Al alloy 6061-SiC particle composite.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132</t>
    </r>
    <r>
      <rPr>
        <sz val="11"/>
        <color rgb="FF222222"/>
        <rFont val="Times New Roman"/>
        <charset val="134"/>
      </rPr>
      <t>, pp.83-88.</t>
    </r>
  </si>
  <si>
    <r>
      <rPr>
        <sz val="11"/>
        <color rgb="FF222222"/>
        <rFont val="Times New Roman"/>
        <charset val="134"/>
      </rPr>
      <t>Zheng, Y.S., Tang, G.Y., Kuang, J. and Zheng, X.P., 2014. Effect of electropulse on solid solution treatment of 6061 aluminum alloy. </t>
    </r>
    <r>
      <rPr>
        <i/>
        <sz val="11"/>
        <color rgb="FF222222"/>
        <rFont val="Times New Roman"/>
        <charset val="134"/>
      </rPr>
      <t>Journal of alloys and compounds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615</t>
    </r>
    <r>
      <rPr>
        <sz val="11"/>
        <color rgb="FF222222"/>
        <rFont val="Times New Roman"/>
        <charset val="134"/>
      </rPr>
      <t>, pp.849-853.</t>
    </r>
  </si>
  <si>
    <t>Desmukh, M.N., Pandey, R.K. and Mukhopadhyay, A.K., 2005. Fatigue behavior of 7010 aluminum alloy containing scandium. Scripta materialia, 52(7), pp.645-650.</t>
  </si>
  <si>
    <r>
      <rPr>
        <sz val="11"/>
        <color rgb="FF222222"/>
        <rFont val="Times New Roman"/>
        <charset val="134"/>
      </rPr>
      <t>Desmukh, M.N., Pandey, R.K. and Mukhopadhyay, A.K., 2005. Fatigue behavior of 7010 aluminum alloy containing scandium. </t>
    </r>
    <r>
      <rPr>
        <i/>
        <sz val="11"/>
        <color rgb="FF222222"/>
        <rFont val="Times New Roman"/>
        <charset val="134"/>
      </rPr>
      <t>Scripta materialia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52</t>
    </r>
    <r>
      <rPr>
        <sz val="11"/>
        <color rgb="FF222222"/>
        <rFont val="Times New Roman"/>
        <charset val="134"/>
      </rPr>
      <t>(7), pp.645-650.</t>
    </r>
  </si>
  <si>
    <r>
      <rPr>
        <sz val="11"/>
        <color rgb="FF222222"/>
        <rFont val="Times New Roman"/>
        <charset val="134"/>
      </rPr>
      <t>Adler, P.N. and DeIasi, R., 1977. Calorimetric studies of 7000 series aluminum alloys: II. Comparison of 7075, 7050 and RX720 alloys. </t>
    </r>
    <r>
      <rPr>
        <i/>
        <sz val="11"/>
        <color rgb="FF222222"/>
        <rFont val="Times New Roman"/>
        <charset val="134"/>
      </rPr>
      <t>Metallurgical Transactions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8</t>
    </r>
    <r>
      <rPr>
        <sz val="11"/>
        <color rgb="FF222222"/>
        <rFont val="Times New Roman"/>
        <charset val="134"/>
      </rPr>
      <t>(7), pp.1185-1190.</t>
    </r>
  </si>
  <si>
    <t>T7351</t>
  </si>
  <si>
    <t>15</t>
  </si>
  <si>
    <t>25</t>
  </si>
  <si>
    <t>8</t>
  </si>
  <si>
    <r>
      <rPr>
        <sz val="11"/>
        <color rgb="FF222222"/>
        <rFont val="Times New Roman"/>
        <charset val="134"/>
      </rPr>
      <t>Chayong, S., Atkinson, H.V. and Kapranos, P., 2005. Thixoforming 7075 aluminium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390</t>
    </r>
    <r>
      <rPr>
        <sz val="11"/>
        <color rgb="FF222222"/>
        <rFont val="Times New Roman"/>
        <charset val="134"/>
      </rPr>
      <t>(1-2), pp.3-12.</t>
    </r>
  </si>
  <si>
    <r>
      <rPr>
        <sz val="11"/>
        <color rgb="FF222222"/>
        <rFont val="Times New Roman"/>
        <charset val="134"/>
      </rPr>
      <t>Das, P., Jayaganthan, R. and Singh, I.V., 2011. Tensile and impact-toughness behaviour of cryorolled Al 7075 alloy. </t>
    </r>
    <r>
      <rPr>
        <i/>
        <sz val="11"/>
        <color rgb="FF222222"/>
        <rFont val="Times New Roman"/>
        <charset val="134"/>
      </rPr>
      <t>Materials &amp; Design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32</t>
    </r>
    <r>
      <rPr>
        <sz val="11"/>
        <color rgb="FF222222"/>
        <rFont val="Times New Roman"/>
        <charset val="134"/>
      </rPr>
      <t>(3), pp.1298-1305.</t>
    </r>
  </si>
  <si>
    <t>9</t>
  </si>
  <si>
    <r>
      <rPr>
        <sz val="11"/>
        <color rgb="FF222222"/>
        <rFont val="Times New Roman"/>
        <charset val="134"/>
      </rPr>
      <t>Dong, J., Cui, J.Z., Le, Q.C. and Lu, G.M., 2003. Liquidus semi-continuous casting, reheating and thixoforming of a wrought aluminum alloy 7075.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345</t>
    </r>
    <r>
      <rPr>
        <sz val="11"/>
        <color rgb="FF222222"/>
        <rFont val="Times New Roman"/>
        <charset val="134"/>
      </rPr>
      <t>(1-2), pp.234-242.</t>
    </r>
  </si>
  <si>
    <r>
      <rPr>
        <sz val="11"/>
        <color rgb="FF222222"/>
        <rFont val="Times New Roman"/>
        <charset val="134"/>
      </rPr>
      <t>Kumar, S.R., Gudimetla, K., Venkatachalam, P., Ravisankar, B. and Jayasankar, K., 2012. Microstructural and mechanical properties of Al 7075 alloy processed by equal channel angular pressing.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533</t>
    </r>
    <r>
      <rPr>
        <sz val="11"/>
        <color rgb="FF222222"/>
        <rFont val="Times New Roman"/>
        <charset val="134"/>
      </rPr>
      <t>, pp.50-54.</t>
    </r>
  </si>
  <si>
    <t>0</t>
  </si>
  <si>
    <t>Rolling</t>
  </si>
  <si>
    <t>OF</t>
  </si>
  <si>
    <r>
      <rPr>
        <sz val="11"/>
        <color rgb="FF222222"/>
        <rFont val="Times New Roman"/>
        <charset val="134"/>
      </rPr>
      <t>Molladavoudi, H.R. and Djavanroodi, F., 2011. Experimental study of thickness reduction effects on mechanical properties and spinning accuracy of aluminum 7075-O, during flow forming. </t>
    </r>
    <r>
      <rPr>
        <i/>
        <sz val="11"/>
        <color rgb="FF222222"/>
        <rFont val="Times New Roman"/>
        <charset val="134"/>
      </rPr>
      <t>The International Journal of Advanced Manufacturing Technology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52</t>
    </r>
    <r>
      <rPr>
        <sz val="11"/>
        <color rgb="FF222222"/>
        <rFont val="Times New Roman"/>
        <charset val="134"/>
      </rPr>
      <t>(9-12), pp.949-957.</t>
    </r>
  </si>
  <si>
    <r>
      <rPr>
        <sz val="11"/>
        <color rgb="FF222222"/>
        <rFont val="Times New Roman"/>
        <charset val="134"/>
      </rPr>
      <t>Panigrahi, S.K. and Jayaganthan, R., 2011. Development of ultrafine grained high strength age hardenable Al 7075 alloy by cryorolling. </t>
    </r>
    <r>
      <rPr>
        <i/>
        <sz val="11"/>
        <color rgb="FF222222"/>
        <rFont val="Times New Roman"/>
        <charset val="134"/>
      </rPr>
      <t>Materials &amp; Design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32</t>
    </r>
    <r>
      <rPr>
        <sz val="11"/>
        <color rgb="FF222222"/>
        <rFont val="Times New Roman"/>
        <charset val="134"/>
      </rPr>
      <t>(6), pp.3150-3160.</t>
    </r>
  </si>
  <si>
    <r>
      <rPr>
        <sz val="11"/>
        <color rgb="FF222222"/>
        <rFont val="Times New Roman"/>
        <charset val="134"/>
      </rPr>
      <t>Panigrahi, S.K. and Jayaganthan, R., 2011. Effect of ageing on microstructure and mechanical properties of bulk, cryorolled, and room temperature rolled Al 7075 alloy. </t>
    </r>
    <r>
      <rPr>
        <i/>
        <sz val="11"/>
        <color rgb="FF222222"/>
        <rFont val="Times New Roman"/>
        <charset val="134"/>
      </rPr>
      <t>Journal of Alloys and Compounds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509</t>
    </r>
    <r>
      <rPr>
        <sz val="11"/>
        <color rgb="FF222222"/>
        <rFont val="Times New Roman"/>
        <charset val="134"/>
      </rPr>
      <t>(40), pp.9609-9616.</t>
    </r>
  </si>
  <si>
    <r>
      <rPr>
        <sz val="11"/>
        <color rgb="FF222222"/>
        <rFont val="Times New Roman"/>
        <charset val="134"/>
      </rPr>
      <t>Rikhtegar, F. and Ketabchi, M., 2010. Investigation of mechanical properties of 7075 Al alloy formed by forward thixoextrusion process. </t>
    </r>
    <r>
      <rPr>
        <i/>
        <sz val="11"/>
        <color rgb="FF222222"/>
        <rFont val="Times New Roman"/>
        <charset val="134"/>
      </rPr>
      <t>Materials &amp; Design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31</t>
    </r>
    <r>
      <rPr>
        <sz val="11"/>
        <color rgb="FF222222"/>
        <rFont val="Times New Roman"/>
        <charset val="134"/>
      </rPr>
      <t>(8), pp.3943-3948.</t>
    </r>
  </si>
  <si>
    <r>
      <rPr>
        <sz val="11"/>
        <color rgb="FF222222"/>
        <rFont val="Times New Roman"/>
        <charset val="134"/>
      </rPr>
      <t>Shaeri, M.H., Salehi, M.T., Seyyedein, S.H., Abutalebi, M.R. and Park, J.K., 2014. Microstructure and mechanical properties of Al-7075 alloy processed by equal channel angular pressing combined with aging treatment. </t>
    </r>
    <r>
      <rPr>
        <i/>
        <sz val="11"/>
        <color rgb="FF222222"/>
        <rFont val="Times New Roman"/>
        <charset val="134"/>
      </rPr>
      <t>Materials &amp; Design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57</t>
    </r>
    <r>
      <rPr>
        <sz val="11"/>
        <color rgb="FF222222"/>
        <rFont val="Times New Roman"/>
        <charset val="134"/>
      </rPr>
      <t>, pp.250-257.</t>
    </r>
  </si>
  <si>
    <t>24</t>
  </si>
  <si>
    <r>
      <rPr>
        <sz val="11"/>
        <color rgb="FF222222"/>
        <rFont val="Times New Roman"/>
        <charset val="134"/>
      </rPr>
      <t>You, C.P., Thompson, A.W. and Bernstein, I.M., 1995. Ductile fracture processes in 7075 aluminum. </t>
    </r>
    <r>
      <rPr>
        <i/>
        <sz val="11"/>
        <color rgb="FF222222"/>
        <rFont val="Times New Roman"/>
        <charset val="134"/>
      </rPr>
      <t>Metallurgical and Materials Transactions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26</t>
    </r>
    <r>
      <rPr>
        <sz val="11"/>
        <color rgb="FF222222"/>
        <rFont val="Times New Roman"/>
        <charset val="134"/>
      </rPr>
      <t>(2), pp.407-415.</t>
    </r>
  </si>
  <si>
    <r>
      <rPr>
        <sz val="11"/>
        <color rgb="FF222222"/>
        <rFont val="Times New Roman"/>
        <charset val="134"/>
      </rPr>
      <t>Zhao, Y.H., Liao, X.Z., Jin, Z., Valiev, R.Z. and Zhu, Y.T., 2004. Microstructures and mechanical properties of ultrafine grained 7075 Al alloy processed by ECAP and their evolutions during annealing. </t>
    </r>
    <r>
      <rPr>
        <i/>
        <sz val="11"/>
        <color rgb="FF222222"/>
        <rFont val="Times New Roman"/>
        <charset val="134"/>
      </rPr>
      <t>Acta Materialia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52</t>
    </r>
    <r>
      <rPr>
        <sz val="11"/>
        <color rgb="FF222222"/>
        <rFont val="Times New Roman"/>
        <charset val="134"/>
      </rPr>
      <t>(15), pp.4589-4599.</t>
    </r>
  </si>
  <si>
    <t>Unspecified</t>
  </si>
  <si>
    <r>
      <rPr>
        <sz val="11"/>
        <color theme="1"/>
        <rFont val="Times New Roman"/>
        <charset val="134"/>
      </rPr>
      <t>Bo, L.I., Pan, Q.L., Chen, C.P. and Yin, Z.M., 2016. Effect of aging time on precipitation behavior, mechanical and corrosion properties of a novel Al-Zn-Mg-Sc-Zr alloy. </t>
    </r>
    <r>
      <rPr>
        <i/>
        <sz val="11"/>
        <color theme="1"/>
        <rFont val="Times New Roman"/>
        <charset val="134"/>
      </rPr>
      <t>Transactions of Nonferrous Metals Society of China</t>
    </r>
    <r>
      <rPr>
        <sz val="11"/>
        <color theme="1"/>
        <rFont val="Times New Roman"/>
        <charset val="134"/>
      </rPr>
      <t>, 26(9), pp.2263-2275.</t>
    </r>
  </si>
  <si>
    <r>
      <rPr>
        <sz val="11"/>
        <color rgb="FF222222"/>
        <rFont val="Times New Roman"/>
        <charset val="134"/>
      </rPr>
      <t>CHEN, G.Q., FU, X.S., Fei, Z. and ZHOU, W.L., 2012. Microstructure and mechanical properties of 2A12 aluminum alloy after age forming. </t>
    </r>
    <r>
      <rPr>
        <i/>
        <sz val="11"/>
        <color rgb="FF222222"/>
        <rFont val="Times New Roman"/>
        <charset val="134"/>
      </rPr>
      <t>Transactions of Nonferrous Metals Society of China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22</t>
    </r>
    <r>
      <rPr>
        <sz val="11"/>
        <color rgb="FF222222"/>
        <rFont val="Times New Roman"/>
        <charset val="134"/>
      </rPr>
      <t>(8), pp.1975-1980.</t>
    </r>
  </si>
  <si>
    <r>
      <rPr>
        <sz val="11"/>
        <color theme="1"/>
        <rFont val="Times New Roman"/>
        <charset val="134"/>
      </rPr>
      <t xml:space="preserve">Cho, C.W., 1987. </t>
    </r>
    <r>
      <rPr>
        <i/>
        <sz val="11"/>
        <color theme="1"/>
        <rFont val="Times New Roman"/>
        <charset val="134"/>
      </rPr>
      <t>Aluminum-lithium alloys and method of making the same</t>
    </r>
    <r>
      <rPr>
        <sz val="11"/>
        <color theme="1"/>
        <rFont val="Times New Roman"/>
        <charset val="134"/>
      </rPr>
      <t>. WO1987003011A1</t>
    </r>
  </si>
  <si>
    <r>
      <rPr>
        <sz val="11"/>
        <color theme="1"/>
        <rFont val="Times New Roman"/>
        <charset val="134"/>
      </rPr>
      <t xml:space="preserve">Deng, Y., Yin, Z., Duan, J., Zhao, K., Tang, B. and He, Z., 2012. Evolution of microstructure and properties in a new type 2 mm Al–Zn–Mg–Sc–Zr alloy sheet. </t>
    </r>
    <r>
      <rPr>
        <i/>
        <sz val="11"/>
        <color theme="1"/>
        <rFont val="Times New Roman"/>
        <charset val="134"/>
      </rPr>
      <t>Journal of alloys and compounds</t>
    </r>
    <r>
      <rPr>
        <sz val="11"/>
        <color theme="1"/>
        <rFont val="Times New Roman"/>
        <charset val="134"/>
      </rPr>
      <t>, 517, pp.118-126.</t>
    </r>
  </si>
  <si>
    <r>
      <rPr>
        <sz val="11"/>
        <color rgb="FF222222"/>
        <rFont val="Times New Roman"/>
        <charset val="134"/>
      </rPr>
      <t>Deng, Y., Yin, Z., Zhao, K., Duan, J. and He, Z., 2012. Effects of Sc and Zr microalloying additions on the microstructure and mechanical properties of new Al–Zn–Mg alloys. </t>
    </r>
    <r>
      <rPr>
        <i/>
        <sz val="11"/>
        <color rgb="FF222222"/>
        <rFont val="Times New Roman"/>
        <charset val="134"/>
      </rPr>
      <t>Journal of alloys and compounds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530</t>
    </r>
    <r>
      <rPr>
        <sz val="11"/>
        <color rgb="FF222222"/>
        <rFont val="Times New Roman"/>
        <charset val="134"/>
      </rPr>
      <t>, pp.71-80.</t>
    </r>
  </si>
  <si>
    <r>
      <rPr>
        <sz val="11"/>
        <color theme="1"/>
        <rFont val="Times New Roman"/>
        <charset val="134"/>
      </rPr>
      <t xml:space="preserve">Deng, Y., Yin, Z., Zhao, K., Duan, J., Hu, J. and He, Z., 2012. Effects of Sc and Zr microalloying additions and aging time at 120° C on the corrosion behaviour of an Al–Zn–Mg alloy. </t>
    </r>
    <r>
      <rPr>
        <i/>
        <sz val="11"/>
        <color theme="1"/>
        <rFont val="Times New Roman"/>
        <charset val="134"/>
      </rPr>
      <t>Corrosion Science</t>
    </r>
    <r>
      <rPr>
        <sz val="11"/>
        <color theme="1"/>
        <rFont val="Times New Roman"/>
        <charset val="134"/>
      </rPr>
      <t>, 65, pp.288-298.</t>
    </r>
  </si>
  <si>
    <r>
      <rPr>
        <sz val="11"/>
        <color rgb="FF222222"/>
        <rFont val="Times New Roman"/>
        <charset val="134"/>
      </rPr>
      <t>Dinsdale, K., Noble, B., Harris, S.J. and Gregson, P.J., 1988. Development of mechanical properties in Al-Li-Zn-Mg-Cu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104</t>
    </r>
    <r>
      <rPr>
        <sz val="11"/>
        <color rgb="FF222222"/>
        <rFont val="Times New Roman"/>
        <charset val="134"/>
      </rPr>
      <t>, pp.75-84.</t>
    </r>
  </si>
  <si>
    <r>
      <rPr>
        <sz val="11"/>
        <color theme="1"/>
        <rFont val="Times New Roman"/>
        <charset val="134"/>
      </rPr>
      <t xml:space="preserve">Fernandes, M.T. and Dorward, R.C., 2000. </t>
    </r>
    <r>
      <rPr>
        <i/>
        <sz val="11"/>
        <color theme="1"/>
        <rFont val="Times New Roman"/>
        <charset val="134"/>
      </rPr>
      <t>Aluminum-magnesium-scandium alloys with zinc and copper</t>
    </r>
    <r>
      <rPr>
        <sz val="11"/>
        <color theme="1"/>
        <rFont val="Times New Roman"/>
        <charset val="134"/>
      </rPr>
      <t>. US6139653A</t>
    </r>
  </si>
  <si>
    <r>
      <rPr>
        <sz val="11"/>
        <color rgb="FF222222"/>
        <rFont val="Times New Roman"/>
        <charset val="134"/>
      </rPr>
      <t>Filatov, Y.A., 1996. Deformable alloys based on the Al-Mg-Se system. </t>
    </r>
    <r>
      <rPr>
        <i/>
        <sz val="11"/>
        <color rgb="FF222222"/>
        <rFont val="Times New Roman"/>
        <charset val="134"/>
      </rPr>
      <t>Metal science and heat treatment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38</t>
    </r>
    <r>
      <rPr>
        <sz val="11"/>
        <color rgb="FF222222"/>
        <rFont val="Times New Roman"/>
        <charset val="134"/>
      </rPr>
      <t>(6), pp.271-274.</t>
    </r>
  </si>
  <si>
    <r>
      <rPr>
        <sz val="11"/>
        <color rgb="FF222222"/>
        <rFont val="Times New Roman"/>
        <charset val="134"/>
      </rPr>
      <t>Fuller, C.B., Krause, A.R., Dunand, D.C. and Seidman, D.N., 2002. Microstructure and mechanical properties of a 5754 aluminum alloy modified by Sc and Zr additions.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338</t>
    </r>
    <r>
      <rPr>
        <sz val="11"/>
        <color rgb="FF222222"/>
        <rFont val="Times New Roman"/>
        <charset val="134"/>
      </rPr>
      <t>(1-2), pp.8-16.</t>
    </r>
  </si>
  <si>
    <r>
      <rPr>
        <sz val="11"/>
        <color rgb="FF222222"/>
        <rFont val="Times New Roman"/>
        <charset val="134"/>
      </rPr>
      <t>Jiang, X.J., Li, Y.Y., Deng, W., Gui, Q.H., Xiong, L.Y. and Shi, C.X., 1993. Effects of zinc on the microstructure and tensile properties of Al-Li alloys. </t>
    </r>
    <r>
      <rPr>
        <i/>
        <sz val="11"/>
        <color rgb="FF222222"/>
        <rFont val="Times New Roman"/>
        <charset val="134"/>
      </rPr>
      <t>Journal of materials science letters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12</t>
    </r>
    <r>
      <rPr>
        <sz val="11"/>
        <color rgb="FF222222"/>
        <rFont val="Times New Roman"/>
        <charset val="134"/>
      </rPr>
      <t>(17), pp.1375-1377.</t>
    </r>
  </si>
  <si>
    <r>
      <rPr>
        <sz val="11"/>
        <color theme="1"/>
        <rFont val="Times New Roman"/>
        <charset val="134"/>
      </rPr>
      <t xml:space="preserve">Li, B., Pan, Q., Chen, C., Wu, H. and Yin, Z., 2016. Effects of solution treatment on microstructural and mechanical properties of Al–Zn–Mg alloy by microalloying with Sc and Zr. </t>
    </r>
    <r>
      <rPr>
        <i/>
        <sz val="11"/>
        <color theme="1"/>
        <rFont val="Times New Roman"/>
        <charset val="134"/>
      </rPr>
      <t>Journal of Alloys and Compounds</t>
    </r>
    <r>
      <rPr>
        <sz val="11"/>
        <color theme="1"/>
        <rFont val="Times New Roman"/>
        <charset val="134"/>
      </rPr>
      <t>, 664, pp.553-564.</t>
    </r>
  </si>
  <si>
    <r>
      <rPr>
        <sz val="11"/>
        <color theme="1"/>
        <rFont val="Times New Roman"/>
        <charset val="134"/>
      </rPr>
      <t xml:space="preserve">Li, B., Pan, Q., Huang, X. and Yin, Z., 2014. Microstructures and properties of Al–Zn–Mg–Mn alloy with trace amounts of Sc and Zr. </t>
    </r>
    <r>
      <rPr>
        <i/>
        <sz val="11"/>
        <color theme="1"/>
        <rFont val="Times New Roman"/>
        <charset val="134"/>
      </rPr>
      <t>Materials Science and Engineering: A</t>
    </r>
    <r>
      <rPr>
        <sz val="11"/>
        <color theme="1"/>
        <rFont val="Times New Roman"/>
        <charset val="134"/>
      </rPr>
      <t>, 616, pp.219-228.</t>
    </r>
  </si>
  <si>
    <r>
      <rPr>
        <sz val="11"/>
        <color rgb="FF222222"/>
        <rFont val="Times New Roman"/>
        <charset val="134"/>
      </rPr>
      <t>Li, G., Zhao, N., Liu, T., Li, J., He, C., Shi, C., Liu, E. and Sha, J., 2014. Effect of Sc/Zr ratio on the microstructure and mechanical properties of new type of Al–Zn–Mg–Sc–Zr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617</t>
    </r>
    <r>
      <rPr>
        <sz val="11"/>
        <color rgb="FF222222"/>
        <rFont val="Times New Roman"/>
        <charset val="134"/>
      </rPr>
      <t>, pp.219-227.</t>
    </r>
  </si>
  <si>
    <r>
      <rPr>
        <sz val="11"/>
        <color rgb="FF222222"/>
        <rFont val="Times New Roman"/>
        <charset val="134"/>
      </rPr>
      <t>Li, H., Huang, D., Kang, W., Liu, J., Ou, Y. and Li, D., 2016. Effect of different aging processes on the microstructure and mechanical properties of a novel Al–Cu–Li alloy. </t>
    </r>
    <r>
      <rPr>
        <i/>
        <sz val="11"/>
        <color rgb="FF222222"/>
        <rFont val="Times New Roman"/>
        <charset val="134"/>
      </rPr>
      <t>Journal of Materials Science &amp; Technology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32</t>
    </r>
    <r>
      <rPr>
        <sz val="11"/>
        <color rgb="FF222222"/>
        <rFont val="Times New Roman"/>
        <charset val="134"/>
      </rPr>
      <t>(10), pp.1049-1053.</t>
    </r>
  </si>
  <si>
    <r>
      <rPr>
        <sz val="11"/>
        <color rgb="FF222222"/>
        <rFont val="Times New Roman"/>
        <charset val="134"/>
      </rPr>
      <t>Li, H.Y., Kang, W. and Lu, X.C., 2015. Effect of age-forming on microstructure, mechanical and corrosion properties of a novel Al–Li alloy. </t>
    </r>
    <r>
      <rPr>
        <i/>
        <sz val="11"/>
        <color rgb="FF222222"/>
        <rFont val="Times New Roman"/>
        <charset val="134"/>
      </rPr>
      <t>Journal of Alloys and Compounds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640</t>
    </r>
    <r>
      <rPr>
        <sz val="11"/>
        <color rgb="FF222222"/>
        <rFont val="Times New Roman"/>
        <charset val="134"/>
      </rPr>
      <t>, pp.210-218.</t>
    </r>
  </si>
  <si>
    <r>
      <rPr>
        <sz val="11"/>
        <color theme="1"/>
        <rFont val="Times New Roman"/>
        <charset val="134"/>
      </rPr>
      <t xml:space="preserve">Lin, Y., Lu, C., Wei, C. and Zheng, Z., 2018. Effect of aging treatment on microstructures, tensile properties and intergranular corrosion behavior of Al–Cu–Li alloy. </t>
    </r>
    <r>
      <rPr>
        <i/>
        <sz val="11"/>
        <color theme="1"/>
        <rFont val="Times New Roman"/>
        <charset val="134"/>
      </rPr>
      <t>Materials Characterization</t>
    </r>
    <r>
      <rPr>
        <sz val="11"/>
        <color theme="1"/>
        <rFont val="Times New Roman"/>
        <charset val="134"/>
      </rPr>
      <t>, 141, pp.163-168.</t>
    </r>
  </si>
  <si>
    <r>
      <rPr>
        <sz val="11"/>
        <color theme="1"/>
        <rFont val="Times New Roman"/>
        <charset val="134"/>
      </rPr>
      <t xml:space="preserve">Lin, Y., Zheng, Z., Li, S., Kong, X. and Han, Y., 2013. Microstructures and properties of 2099 Al-Li alloy. </t>
    </r>
    <r>
      <rPr>
        <i/>
        <sz val="11"/>
        <color theme="1"/>
        <rFont val="Times New Roman"/>
        <charset val="134"/>
      </rPr>
      <t>Materials Characterization</t>
    </r>
    <r>
      <rPr>
        <sz val="11"/>
        <color theme="1"/>
        <rFont val="Times New Roman"/>
        <charset val="134"/>
      </rPr>
      <t>, 84, pp.88-99.</t>
    </r>
  </si>
  <si>
    <r>
      <rPr>
        <sz val="11"/>
        <color theme="1"/>
        <rFont val="Times New Roman"/>
        <charset val="134"/>
      </rPr>
      <t xml:space="preserve">Liu, J., Yao, P., Zhao, N., Shi, C., Li, H., Li, X., Xi, D. and Yang, S., 2016. Effect of minor Sc and Zr on recrystallization behavior and mechanical properties of novel Al–Zn–Mg–Cu alloys. </t>
    </r>
    <r>
      <rPr>
        <i/>
        <sz val="11"/>
        <color theme="1"/>
        <rFont val="Times New Roman"/>
        <charset val="134"/>
      </rPr>
      <t>Journal of Alloys and Compounds</t>
    </r>
    <r>
      <rPr>
        <sz val="11"/>
        <color theme="1"/>
        <rFont val="Times New Roman"/>
        <charset val="134"/>
      </rPr>
      <t>, 657, pp.717-725.</t>
    </r>
  </si>
  <si>
    <r>
      <rPr>
        <sz val="11"/>
        <color rgb="FF222222"/>
        <rFont val="Times New Roman"/>
        <charset val="134"/>
      </rPr>
      <t>Liu, Q., Chen, C.Z. and Cui, J.Z., 2005. Effect of copper content on mechanical properties and fracture behaviors of Al-Li-Cu alloy. </t>
    </r>
    <r>
      <rPr>
        <i/>
        <sz val="11"/>
        <color rgb="FF222222"/>
        <rFont val="Times New Roman"/>
        <charset val="134"/>
      </rPr>
      <t>Metallurgical and materials transactions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36</t>
    </r>
    <r>
      <rPr>
        <sz val="11"/>
        <color rgb="FF222222"/>
        <rFont val="Times New Roman"/>
        <charset val="134"/>
      </rPr>
      <t>(6), pp.1389-1394.</t>
    </r>
  </si>
  <si>
    <r>
      <rPr>
        <sz val="11"/>
        <color rgb="FF222222"/>
        <rFont val="Times New Roman"/>
        <charset val="134"/>
      </rPr>
      <t>Liu, Z., Li, Z., Wang, M. and Weng, Y., 2008. Effect of complex alloying of Sc, Zr and Ti on the microstructure and mechanical properties of Al–5Mg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483</t>
    </r>
    <r>
      <rPr>
        <sz val="11"/>
        <color rgb="FF222222"/>
        <rFont val="Times New Roman"/>
        <charset val="134"/>
      </rPr>
      <t>, pp.120-122.</t>
    </r>
  </si>
  <si>
    <r>
      <rPr>
        <sz val="11"/>
        <color rgb="FF222222"/>
        <rFont val="Times New Roman"/>
        <charset val="134"/>
      </rPr>
      <t>Meng, Y., Cui, J., Zhao, Z. and Zuo, Y., 2013. Effect of vanadium on the microstructures and mechanical properties of an Al–Mg–Si–Cu–Cr–Ti alloy of 6XXX series. </t>
    </r>
    <r>
      <rPr>
        <i/>
        <sz val="11"/>
        <color rgb="FF222222"/>
        <rFont val="Times New Roman"/>
        <charset val="134"/>
      </rPr>
      <t>Journal of alloys and compounds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573</t>
    </r>
    <r>
      <rPr>
        <sz val="11"/>
        <color rgb="FF222222"/>
        <rFont val="Times New Roman"/>
        <charset val="134"/>
      </rPr>
      <t>, pp.102-111.</t>
    </r>
  </si>
  <si>
    <r>
      <rPr>
        <sz val="11"/>
        <color theme="1"/>
        <rFont val="Times New Roman"/>
        <charset val="134"/>
      </rPr>
      <t xml:space="preserve">Peng, X., Li, Y., Xu, G., Huang, J. and Yin, Z., 2018. Effect of precipitate state on mechanical properties, corrosion behavior, and microstructures of Al–Zn–Mg–Cu alloy. </t>
    </r>
    <r>
      <rPr>
        <i/>
        <sz val="11"/>
        <color theme="1"/>
        <rFont val="Times New Roman"/>
        <charset val="134"/>
      </rPr>
      <t>Metals and Materials International</t>
    </r>
    <r>
      <rPr>
        <sz val="11"/>
        <color theme="1"/>
        <rFont val="Times New Roman"/>
        <charset val="134"/>
      </rPr>
      <t>, 24(5), pp.1046-1057.</t>
    </r>
  </si>
  <si>
    <r>
      <rPr>
        <sz val="11"/>
        <color rgb="FF222222"/>
        <rFont val="Times New Roman"/>
        <charset val="134"/>
      </rPr>
      <t>Starke, E.A., Sanders, T.H. and Palmer, I.G., 1981. New approaches to alloy development in the Al-Li system. </t>
    </r>
    <r>
      <rPr>
        <i/>
        <sz val="11"/>
        <color rgb="FF222222"/>
        <rFont val="Times New Roman"/>
        <charset val="134"/>
      </rPr>
      <t>JOM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33</t>
    </r>
    <r>
      <rPr>
        <sz val="11"/>
        <color rgb="FF222222"/>
        <rFont val="Times New Roman"/>
        <charset val="134"/>
      </rPr>
      <t>(8), pp.24-33.</t>
    </r>
  </si>
  <si>
    <r>
      <rPr>
        <sz val="11"/>
        <color theme="1"/>
        <rFont val="Times New Roman"/>
        <charset val="134"/>
      </rPr>
      <t xml:space="preserve">Sun, J., Zhang, L., Wu, G., Zhang, X., Rong, M. and Wang, C., 2019. Microstructural characteristics and mechanical properties of extruded Al-4Cu-1Li-0.4 Mg-0.1 Zr-xZn alloy. </t>
    </r>
    <r>
      <rPr>
        <i/>
        <sz val="11"/>
        <color theme="1"/>
        <rFont val="Times New Roman"/>
        <charset val="134"/>
      </rPr>
      <t>Materials Science and Engineering: A</t>
    </r>
    <r>
      <rPr>
        <sz val="11"/>
        <color theme="1"/>
        <rFont val="Times New Roman"/>
        <charset val="134"/>
      </rPr>
      <t>, 743, pp.223-232.</t>
    </r>
  </si>
  <si>
    <r>
      <rPr>
        <sz val="11"/>
        <color theme="1"/>
        <rFont val="Times New Roman"/>
        <charset val="134"/>
      </rPr>
      <t xml:space="preserve">Tang, Z., Jiang, F., Long, M., Jiang, J., Liu, H. and Tong, M., 2020. Effect of annealing temperature on microstructure, mechanical properties and corrosion behavior of Al-Mg-Mn-Sc-Zr alloy. </t>
    </r>
    <r>
      <rPr>
        <i/>
        <sz val="11"/>
        <color theme="1"/>
        <rFont val="Times New Roman"/>
        <charset val="134"/>
      </rPr>
      <t>Applied Surface Science</t>
    </r>
    <r>
      <rPr>
        <sz val="11"/>
        <color theme="1"/>
        <rFont val="Times New Roman"/>
        <charset val="134"/>
      </rPr>
      <t>, 514, p.146081.</t>
    </r>
  </si>
  <si>
    <r>
      <rPr>
        <sz val="11"/>
        <color theme="1"/>
        <rFont val="Times New Roman"/>
        <charset val="134"/>
      </rPr>
      <t xml:space="preserve">Teng, G.B., Liu, C.Y., Ma, Z.Y., Zhou, W.B., Wei, L.L., Chen, Y., Li, J. and Mo, Y.F., 2018. Effects of minor Sc addition on the microstructure and mechanical properties of 7055 Al alloy during aging. </t>
    </r>
    <r>
      <rPr>
        <i/>
        <sz val="11"/>
        <color theme="1"/>
        <rFont val="Times New Roman"/>
        <charset val="134"/>
      </rPr>
      <t>Materials Science and Engineering: A</t>
    </r>
    <r>
      <rPr>
        <sz val="11"/>
        <color theme="1"/>
        <rFont val="Times New Roman"/>
        <charset val="134"/>
      </rPr>
      <t>, 713, pp.61-66.</t>
    </r>
  </si>
  <si>
    <r>
      <rPr>
        <sz val="11"/>
        <color theme="1"/>
        <rFont val="Times New Roman"/>
        <charset val="134"/>
      </rPr>
      <t xml:space="preserve">Tu, W., Tang, J., Zhang, Y., Ye, L., Liu, S., Lu, J., Zhan, X. and Li, C., 2020. Effect of Sn and Cu addition on the precipitation and hardening behavior of Al-1.0 Mg-0.6 Si alloy. </t>
    </r>
    <r>
      <rPr>
        <i/>
        <sz val="11"/>
        <color theme="1"/>
        <rFont val="Times New Roman"/>
        <charset val="134"/>
      </rPr>
      <t>Materials Science and Engineering: A</t>
    </r>
    <r>
      <rPr>
        <sz val="11"/>
        <color theme="1"/>
        <rFont val="Times New Roman"/>
        <charset val="134"/>
      </rPr>
      <t>, 770, p.138515.</t>
    </r>
  </si>
  <si>
    <r>
      <rPr>
        <sz val="11"/>
        <color rgb="FF222222"/>
        <rFont val="Times New Roman"/>
        <charset val="134"/>
      </rPr>
      <t>Wei, B.C., Chen, C.Q., Huang, Z. and Zhang, Y.G., 2000. Aging behavior of Li containing Al–Zn–Mg–Cu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280</t>
    </r>
    <r>
      <rPr>
        <sz val="11"/>
        <color rgb="FF222222"/>
        <rFont val="Times New Roman"/>
        <charset val="134"/>
      </rPr>
      <t>(1), pp.161-167.</t>
    </r>
  </si>
  <si>
    <r>
      <rPr>
        <sz val="11"/>
        <color rgb="FF000000"/>
        <rFont val="Times New Roman"/>
        <charset val="134"/>
      </rPr>
      <t>Willey, L.A., 1968. </t>
    </r>
    <r>
      <rPr>
        <i/>
        <sz val="11"/>
        <color rgb="FF000000"/>
        <rFont val="Times New Roman"/>
        <charset val="134"/>
      </rPr>
      <t>Aluminum scandium alloy.</t>
    </r>
    <r>
      <rPr>
        <sz val="11"/>
        <color rgb="FF000000"/>
        <rFont val="Times New Roman"/>
        <charset val="134"/>
      </rPr>
      <t xml:space="preserve"> US3619181A.</t>
    </r>
  </si>
  <si>
    <r>
      <rPr>
        <sz val="11"/>
        <color rgb="FF222222"/>
        <rFont val="Times New Roman"/>
        <charset val="134"/>
      </rPr>
      <t>Wu, Y.L., Li, C., Froes, F.S. and Alvarez, A., 1999. Microalloying of Sc, Ni, and Ce in an advanced Al-Zn-Mg-Cu alloy. </t>
    </r>
    <r>
      <rPr>
        <i/>
        <sz val="11"/>
        <color rgb="FF222222"/>
        <rFont val="Times New Roman"/>
        <charset val="134"/>
      </rPr>
      <t>Metallurgical and materials Transactions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30</t>
    </r>
    <r>
      <rPr>
        <sz val="11"/>
        <color rgb="FF222222"/>
        <rFont val="Times New Roman"/>
        <charset val="134"/>
      </rPr>
      <t>(4), pp.1017-1024.</t>
    </r>
  </si>
  <si>
    <r>
      <rPr>
        <sz val="11"/>
        <color rgb="FF222222"/>
        <rFont val="Times New Roman"/>
        <charset val="134"/>
      </rPr>
      <t>Wu, Z.G., Song, M. and He, Y.H., 2009. Effects of Er on the microstructure and mechanical properties of an as-extruded Al–Mg alloy.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504</t>
    </r>
    <r>
      <rPr>
        <sz val="11"/>
        <color rgb="FF222222"/>
        <rFont val="Times New Roman"/>
        <charset val="134"/>
      </rPr>
      <t>(1-2), pp.183-187.</t>
    </r>
  </si>
  <si>
    <r>
      <rPr>
        <sz val="11"/>
        <color rgb="FF222222"/>
        <rFont val="Times New Roman"/>
        <charset val="134"/>
      </rPr>
      <t>Yang, R., Zhi, Q., Wang, F., Zhang, Y., Liu, Z., Wang, J., Tan, X., Chen, Y. and Cao, Y., 2018. Effects of enhanced solution treatment on microstructure and mechanical properties of Al–Cu–Li–Sc alloy. </t>
    </r>
    <r>
      <rPr>
        <i/>
        <sz val="11"/>
        <color rgb="FF222222"/>
        <rFont val="Times New Roman"/>
        <charset val="134"/>
      </rPr>
      <t>Materials Science and Technology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34</t>
    </r>
    <r>
      <rPr>
        <sz val="11"/>
        <color rgb="FF222222"/>
        <rFont val="Times New Roman"/>
        <charset val="134"/>
      </rPr>
      <t>(10), pp.1201-1211.</t>
    </r>
  </si>
  <si>
    <r>
      <rPr>
        <sz val="11"/>
        <color rgb="FF222222"/>
        <rFont val="Times New Roman"/>
        <charset val="134"/>
      </rPr>
      <t>Yin, Z., Pan, Q., Zhang, Y. and Jiang, F., 2000. Effect of minor Sc and Zr on the microstructure and mechanical properties of Al–Mg based alloys. </t>
    </r>
    <r>
      <rPr>
        <i/>
        <sz val="11"/>
        <color rgb="FF222222"/>
        <rFont val="Times New Roman"/>
        <charset val="134"/>
      </rPr>
      <t>Materials Science and Engineering: A</t>
    </r>
    <r>
      <rPr>
        <sz val="11"/>
        <color rgb="FF222222"/>
        <rFont val="Times New Roman"/>
        <charset val="134"/>
      </rPr>
      <t>, </t>
    </r>
    <r>
      <rPr>
        <i/>
        <sz val="11"/>
        <color rgb="FF222222"/>
        <rFont val="Times New Roman"/>
        <charset val="134"/>
      </rPr>
      <t>280</t>
    </r>
    <r>
      <rPr>
        <sz val="11"/>
        <color rgb="FF222222"/>
        <rFont val="Times New Roman"/>
        <charset val="134"/>
      </rPr>
      <t>(1), pp.151-155.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</si>
</sst>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222222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222222"/>
      <name val="Times New Roman"/>
      <charset val="134"/>
    </font>
    <font>
      <i/>
      <sz val="11"/>
      <color rgb="FF000000"/>
      <name val="Times New Roman"/>
      <charset val="134"/>
    </font>
    <font>
      <i/>
      <sz val="11"/>
      <color theme="1"/>
      <name val="Times New Roman"/>
      <charset val="134"/>
    </font>
    <font>
      <i/>
      <sz val="1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1" fillId="0" borderId="2" xfId="0" applyFont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left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5" fillId="2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A8EEF"/>
      <color rgb="00F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51"/>
  <sheetViews>
    <sheetView tabSelected="1" topLeftCell="A480" workbookViewId="0">
      <pane xSplit="1" topLeftCell="B1" activePane="topRight" state="frozen"/>
      <selection/>
      <selection pane="topRight" activeCell="V656" sqref="V656"/>
    </sheetView>
  </sheetViews>
  <sheetFormatPr defaultColWidth="9.07964601769912" defaultRowHeight="13.85"/>
  <cols>
    <col min="1" max="1" width="10.3362831858407" style="6" customWidth="1"/>
    <col min="2" max="2" width="5.58407079646018" style="7" customWidth="1"/>
    <col min="3" max="19" width="5.58407079646018" style="6" customWidth="1"/>
    <col min="20" max="20" width="8.58407079646018" style="8" customWidth="1"/>
    <col min="21" max="21" width="15.0796460176991" style="7" customWidth="1"/>
    <col min="22" max="22" width="17.3362831858407" style="6" customWidth="1"/>
    <col min="23" max="23" width="14.0796460176991" style="6" customWidth="1"/>
    <col min="24" max="24" width="21.8318584070796" style="6" customWidth="1"/>
    <col min="25" max="25" width="25.0796460176991" style="6" customWidth="1"/>
    <col min="26" max="26" width="25.5840707964602" style="6" customWidth="1"/>
    <col min="27" max="27" width="15.3362831858407" style="6" customWidth="1"/>
    <col min="28" max="28" width="23.0796460176991" style="6" customWidth="1"/>
    <col min="29" max="29" width="19.3362831858407" style="6" customWidth="1"/>
    <col min="30" max="30" width="14.5840707964602" style="9" customWidth="1"/>
    <col min="31" max="31" width="7.33628318584071" style="7" customWidth="1"/>
    <col min="32" max="32" width="8" style="6" customWidth="1"/>
    <col min="33" max="33" width="14.5840707964602" style="10" customWidth="1"/>
    <col min="34" max="34" width="77.5840707964602" style="11" customWidth="1"/>
    <col min="35" max="16384" width="9.07964601769912" style="6"/>
  </cols>
  <sheetData>
    <row r="1" s="1" customFormat="1" spans="1:34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4" t="s">
        <v>18</v>
      </c>
      <c r="T1" s="18" t="s">
        <v>19</v>
      </c>
      <c r="U1" s="19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3" t="s">
        <v>28</v>
      </c>
      <c r="AD1" s="24" t="s">
        <v>29</v>
      </c>
      <c r="AE1" s="25" t="s">
        <v>30</v>
      </c>
      <c r="AF1" s="23" t="s">
        <v>31</v>
      </c>
      <c r="AG1" s="23" t="s">
        <v>32</v>
      </c>
      <c r="AH1" s="28" t="s">
        <v>33</v>
      </c>
    </row>
    <row r="2" s="2" customFormat="1" ht="13.9" spans="1:34">
      <c r="A2" s="2">
        <v>1050</v>
      </c>
      <c r="B2" s="15">
        <v>0.125</v>
      </c>
      <c r="C2" s="2">
        <v>0.235</v>
      </c>
      <c r="D2" s="2">
        <v>0.025</v>
      </c>
      <c r="E2" s="2">
        <v>0.025</v>
      </c>
      <c r="F2" s="2">
        <v>0.025</v>
      </c>
      <c r="G2" s="2">
        <v>0</v>
      </c>
      <c r="H2" s="2">
        <v>0.025</v>
      </c>
      <c r="I2" s="2">
        <v>0.025</v>
      </c>
      <c r="J2" s="2">
        <v>0.015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1">
        <f t="shared" ref="T2:T15" si="0">100-SUM(B2:S2)</f>
        <v>99.5</v>
      </c>
      <c r="U2" s="15">
        <v>25</v>
      </c>
      <c r="V2" s="2">
        <v>25</v>
      </c>
      <c r="W2" s="2">
        <v>0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37</v>
      </c>
      <c r="AC2" s="2" t="s">
        <v>38</v>
      </c>
      <c r="AD2" s="26" t="s">
        <v>39</v>
      </c>
      <c r="AE2" s="15">
        <v>142.5</v>
      </c>
      <c r="AF2" s="2">
        <v>167.5</v>
      </c>
      <c r="AG2" s="29" t="s">
        <v>40</v>
      </c>
      <c r="AH2" s="30" t="s">
        <v>41</v>
      </c>
    </row>
    <row r="3" ht="13.9" spans="1:34">
      <c r="A3" s="6">
        <v>1050</v>
      </c>
      <c r="B3" s="7">
        <v>0.125</v>
      </c>
      <c r="C3" s="6">
        <v>0.235</v>
      </c>
      <c r="D3" s="6">
        <v>0.025</v>
      </c>
      <c r="E3" s="6">
        <v>0.025</v>
      </c>
      <c r="F3" s="6">
        <v>0.025</v>
      </c>
      <c r="G3" s="6">
        <v>0</v>
      </c>
      <c r="H3" s="6">
        <v>0.025</v>
      </c>
      <c r="I3" s="6">
        <v>0.025</v>
      </c>
      <c r="J3" s="6">
        <v>0.015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8">
        <f t="shared" si="0"/>
        <v>99.5</v>
      </c>
      <c r="U3" s="7">
        <v>25</v>
      </c>
      <c r="V3" s="6">
        <v>25</v>
      </c>
      <c r="W3" s="6">
        <v>0</v>
      </c>
      <c r="X3" s="6" t="s">
        <v>42</v>
      </c>
      <c r="Y3" s="6" t="s">
        <v>35</v>
      </c>
      <c r="Z3" s="6" t="s">
        <v>36</v>
      </c>
      <c r="AA3" s="6" t="s">
        <v>37</v>
      </c>
      <c r="AB3" s="6" t="s">
        <v>37</v>
      </c>
      <c r="AC3" s="6" t="s">
        <v>43</v>
      </c>
      <c r="AD3" s="26" t="s">
        <v>39</v>
      </c>
      <c r="AE3" s="7">
        <v>130</v>
      </c>
      <c r="AF3" s="6">
        <v>145</v>
      </c>
      <c r="AG3" s="10">
        <v>15</v>
      </c>
      <c r="AH3" s="31" t="s">
        <v>41</v>
      </c>
    </row>
    <row r="4" ht="13.9" spans="1:34">
      <c r="A4" s="6">
        <v>1050</v>
      </c>
      <c r="B4" s="7">
        <v>0.125</v>
      </c>
      <c r="C4" s="6">
        <v>0.235</v>
      </c>
      <c r="D4" s="6">
        <v>0.025</v>
      </c>
      <c r="E4" s="6">
        <v>0.025</v>
      </c>
      <c r="F4" s="6">
        <v>0.025</v>
      </c>
      <c r="G4" s="6">
        <v>0</v>
      </c>
      <c r="H4" s="6">
        <v>0.025</v>
      </c>
      <c r="I4" s="6">
        <v>0.025</v>
      </c>
      <c r="J4" s="6">
        <v>0.015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8">
        <f t="shared" si="0"/>
        <v>99.5</v>
      </c>
      <c r="U4" s="7">
        <v>25</v>
      </c>
      <c r="V4" s="6">
        <v>25</v>
      </c>
      <c r="W4" s="6">
        <v>0</v>
      </c>
      <c r="X4" s="6" t="s">
        <v>44</v>
      </c>
      <c r="Y4" s="6" t="s">
        <v>35</v>
      </c>
      <c r="Z4" s="6" t="s">
        <v>36</v>
      </c>
      <c r="AA4" s="6" t="s">
        <v>37</v>
      </c>
      <c r="AB4" s="6" t="s">
        <v>37</v>
      </c>
      <c r="AC4" s="6" t="s">
        <v>45</v>
      </c>
      <c r="AD4" s="26" t="s">
        <v>39</v>
      </c>
      <c r="AE4" s="7">
        <v>115</v>
      </c>
      <c r="AF4" s="6">
        <v>120</v>
      </c>
      <c r="AG4" s="10" t="s">
        <v>40</v>
      </c>
      <c r="AH4" s="31" t="s">
        <v>41</v>
      </c>
    </row>
    <row r="5" ht="13.9" spans="1:34">
      <c r="A5" s="6">
        <v>1050</v>
      </c>
      <c r="B5" s="7">
        <v>0.125</v>
      </c>
      <c r="C5" s="6">
        <v>0.235</v>
      </c>
      <c r="D5" s="6">
        <v>0.025</v>
      </c>
      <c r="E5" s="6">
        <v>0.025</v>
      </c>
      <c r="F5" s="6">
        <v>0.025</v>
      </c>
      <c r="G5" s="6">
        <v>0</v>
      </c>
      <c r="H5" s="6">
        <v>0.025</v>
      </c>
      <c r="I5" s="6">
        <v>0.025</v>
      </c>
      <c r="J5" s="6">
        <v>0.015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8">
        <f t="shared" si="0"/>
        <v>99.5</v>
      </c>
      <c r="U5" s="7">
        <v>25</v>
      </c>
      <c r="V5" s="6">
        <v>25</v>
      </c>
      <c r="W5" s="6">
        <v>0</v>
      </c>
      <c r="X5" s="6" t="s">
        <v>34</v>
      </c>
      <c r="Y5" s="6" t="s">
        <v>35</v>
      </c>
      <c r="Z5" s="6" t="s">
        <v>46</v>
      </c>
      <c r="AA5" s="6" t="s">
        <v>37</v>
      </c>
      <c r="AB5" s="6" t="s">
        <v>37</v>
      </c>
      <c r="AC5" s="6" t="s">
        <v>38</v>
      </c>
      <c r="AD5" s="26" t="s">
        <v>47</v>
      </c>
      <c r="AE5" s="7">
        <v>100</v>
      </c>
      <c r="AF5" s="6">
        <v>115</v>
      </c>
      <c r="AG5" s="10" t="s">
        <v>40</v>
      </c>
      <c r="AH5" s="31" t="s">
        <v>41</v>
      </c>
    </row>
    <row r="6" ht="13.9" spans="1:34">
      <c r="A6" s="6">
        <v>1050</v>
      </c>
      <c r="B6" s="7">
        <v>0.125</v>
      </c>
      <c r="C6" s="6">
        <v>0.235</v>
      </c>
      <c r="D6" s="6">
        <v>0.025</v>
      </c>
      <c r="E6" s="6">
        <v>0.025</v>
      </c>
      <c r="F6" s="6">
        <v>0.025</v>
      </c>
      <c r="G6" s="6">
        <v>0</v>
      </c>
      <c r="H6" s="6">
        <v>0.025</v>
      </c>
      <c r="I6" s="6">
        <v>0.025</v>
      </c>
      <c r="J6" s="6">
        <v>0.015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8">
        <f t="shared" si="0"/>
        <v>99.5</v>
      </c>
      <c r="U6" s="7">
        <v>25</v>
      </c>
      <c r="V6" s="6">
        <v>25</v>
      </c>
      <c r="W6" s="6">
        <v>0</v>
      </c>
      <c r="X6" s="6" t="s">
        <v>42</v>
      </c>
      <c r="Y6" s="6" t="s">
        <v>35</v>
      </c>
      <c r="Z6" s="6" t="s">
        <v>46</v>
      </c>
      <c r="AA6" s="6" t="s">
        <v>37</v>
      </c>
      <c r="AB6" s="6" t="s">
        <v>37</v>
      </c>
      <c r="AC6" s="6" t="s">
        <v>43</v>
      </c>
      <c r="AD6" s="26" t="s">
        <v>47</v>
      </c>
      <c r="AE6" s="7">
        <v>105</v>
      </c>
      <c r="AF6" s="6">
        <v>110</v>
      </c>
      <c r="AG6" s="10">
        <v>15</v>
      </c>
      <c r="AH6" s="31" t="s">
        <v>41</v>
      </c>
    </row>
    <row r="7" ht="13.9" spans="1:34">
      <c r="A7" s="6">
        <v>1050</v>
      </c>
      <c r="B7" s="7">
        <v>0.125</v>
      </c>
      <c r="C7" s="6">
        <v>0.235</v>
      </c>
      <c r="D7" s="6">
        <v>0.025</v>
      </c>
      <c r="E7" s="6">
        <v>0.025</v>
      </c>
      <c r="F7" s="6">
        <v>0.025</v>
      </c>
      <c r="G7" s="6">
        <v>0</v>
      </c>
      <c r="H7" s="6">
        <v>0</v>
      </c>
      <c r="I7" s="6">
        <v>0.025</v>
      </c>
      <c r="J7" s="6">
        <v>0</v>
      </c>
      <c r="K7" s="6">
        <v>0.025</v>
      </c>
      <c r="L7" s="6">
        <v>0.015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8">
        <f t="shared" si="0"/>
        <v>99.5</v>
      </c>
      <c r="U7" s="7">
        <v>25</v>
      </c>
      <c r="V7" s="6">
        <v>25</v>
      </c>
      <c r="W7" s="6">
        <v>0</v>
      </c>
      <c r="X7" s="6" t="s">
        <v>42</v>
      </c>
      <c r="Y7" s="6" t="s">
        <v>35</v>
      </c>
      <c r="Z7" s="6" t="s">
        <v>48</v>
      </c>
      <c r="AA7" s="6" t="s">
        <v>37</v>
      </c>
      <c r="AB7" s="6" t="s">
        <v>37</v>
      </c>
      <c r="AC7" s="6" t="s">
        <v>43</v>
      </c>
      <c r="AD7" s="26" t="s">
        <v>49</v>
      </c>
      <c r="AE7" s="7">
        <v>35</v>
      </c>
      <c r="AF7" s="6">
        <v>80</v>
      </c>
      <c r="AG7" s="10">
        <v>47</v>
      </c>
      <c r="AH7" s="31" t="s">
        <v>41</v>
      </c>
    </row>
    <row r="8" ht="13.9" spans="1:34">
      <c r="A8" s="6">
        <v>1050</v>
      </c>
      <c r="B8" s="7">
        <v>0.125</v>
      </c>
      <c r="C8" s="6">
        <v>0.235</v>
      </c>
      <c r="D8" s="6">
        <v>0.025</v>
      </c>
      <c r="E8" s="6">
        <v>0.025</v>
      </c>
      <c r="F8" s="6">
        <v>0.025</v>
      </c>
      <c r="G8" s="6">
        <v>0</v>
      </c>
      <c r="H8" s="6">
        <v>0.025</v>
      </c>
      <c r="I8" s="6">
        <v>0.025</v>
      </c>
      <c r="J8" s="6">
        <v>0.015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8">
        <f t="shared" si="0"/>
        <v>99.5</v>
      </c>
      <c r="U8" s="7">
        <v>25</v>
      </c>
      <c r="V8" s="6">
        <v>25</v>
      </c>
      <c r="W8" s="6">
        <v>0</v>
      </c>
      <c r="X8" s="6" t="s">
        <v>44</v>
      </c>
      <c r="Y8" s="6" t="s">
        <v>50</v>
      </c>
      <c r="Z8" s="6" t="s">
        <v>48</v>
      </c>
      <c r="AA8" s="6" t="s">
        <v>37</v>
      </c>
      <c r="AB8" s="6" t="s">
        <v>37</v>
      </c>
      <c r="AC8" s="6" t="s">
        <v>45</v>
      </c>
      <c r="AD8" s="26" t="s">
        <v>49</v>
      </c>
      <c r="AE8" s="7" t="s">
        <v>40</v>
      </c>
      <c r="AF8" s="6">
        <v>75</v>
      </c>
      <c r="AG8" s="10">
        <v>15</v>
      </c>
      <c r="AH8" s="31" t="s">
        <v>41</v>
      </c>
    </row>
    <row r="9" ht="13.9" spans="1:34">
      <c r="A9" s="6">
        <v>1050</v>
      </c>
      <c r="B9" s="7">
        <v>0.125</v>
      </c>
      <c r="C9" s="6">
        <v>0.235</v>
      </c>
      <c r="D9" s="6">
        <v>0.025</v>
      </c>
      <c r="E9" s="6">
        <v>0.025</v>
      </c>
      <c r="F9" s="6">
        <v>0.025</v>
      </c>
      <c r="G9" s="6">
        <v>0</v>
      </c>
      <c r="H9" s="6">
        <v>0.025</v>
      </c>
      <c r="I9" s="6">
        <v>0.025</v>
      </c>
      <c r="J9" s="6">
        <v>0.015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8">
        <f t="shared" si="0"/>
        <v>99.5</v>
      </c>
      <c r="U9" s="7">
        <v>25</v>
      </c>
      <c r="V9" s="6">
        <v>25</v>
      </c>
      <c r="W9" s="6">
        <v>0</v>
      </c>
      <c r="X9" s="6" t="s">
        <v>44</v>
      </c>
      <c r="Y9" s="6" t="s">
        <v>35</v>
      </c>
      <c r="Z9" s="6" t="s">
        <v>37</v>
      </c>
      <c r="AA9" s="6" t="s">
        <v>37</v>
      </c>
      <c r="AB9" s="6" t="s">
        <v>37</v>
      </c>
      <c r="AC9" s="6" t="s">
        <v>51</v>
      </c>
      <c r="AD9" s="26" t="s">
        <v>52</v>
      </c>
      <c r="AE9" s="7">
        <v>50</v>
      </c>
      <c r="AF9" s="6">
        <v>75</v>
      </c>
      <c r="AG9" s="10">
        <v>38</v>
      </c>
      <c r="AH9" s="31" t="s">
        <v>41</v>
      </c>
    </row>
    <row r="10" ht="13.9" spans="1:34">
      <c r="A10" s="6">
        <v>1050</v>
      </c>
      <c r="B10" s="7">
        <v>0.125</v>
      </c>
      <c r="C10" s="6">
        <v>0.235</v>
      </c>
      <c r="D10" s="6">
        <v>0.025</v>
      </c>
      <c r="E10" s="6">
        <v>0.025</v>
      </c>
      <c r="F10" s="6">
        <v>0.025</v>
      </c>
      <c r="G10" s="6">
        <v>0</v>
      </c>
      <c r="H10" s="6">
        <v>0.025</v>
      </c>
      <c r="I10" s="6">
        <v>0.025</v>
      </c>
      <c r="J10" s="6">
        <v>0.015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8">
        <f t="shared" si="0"/>
        <v>99.5</v>
      </c>
      <c r="U10" s="7">
        <v>25</v>
      </c>
      <c r="V10" s="6">
        <v>25</v>
      </c>
      <c r="W10" s="6">
        <v>0</v>
      </c>
      <c r="X10" s="6" t="s">
        <v>34</v>
      </c>
      <c r="Y10" s="6" t="s">
        <v>50</v>
      </c>
      <c r="Z10" s="6" t="s">
        <v>48</v>
      </c>
      <c r="AA10" s="6" t="s">
        <v>37</v>
      </c>
      <c r="AB10" s="6" t="s">
        <v>37</v>
      </c>
      <c r="AC10" s="6" t="s">
        <v>38</v>
      </c>
      <c r="AD10" s="26" t="s">
        <v>49</v>
      </c>
      <c r="AE10" s="7">
        <v>42</v>
      </c>
      <c r="AF10" s="6">
        <v>75</v>
      </c>
      <c r="AG10" s="10" t="s">
        <v>40</v>
      </c>
      <c r="AH10" s="31" t="s">
        <v>41</v>
      </c>
    </row>
    <row r="11" ht="13.9" spans="1:34">
      <c r="A11" s="6">
        <v>1050</v>
      </c>
      <c r="B11" s="7">
        <v>0.125</v>
      </c>
      <c r="C11" s="6">
        <v>0.235</v>
      </c>
      <c r="D11" s="6">
        <v>0.025</v>
      </c>
      <c r="E11" s="6">
        <v>0.025</v>
      </c>
      <c r="F11" s="6">
        <v>0.025</v>
      </c>
      <c r="G11" s="6">
        <v>0</v>
      </c>
      <c r="H11" s="6">
        <v>0.025</v>
      </c>
      <c r="I11" s="6">
        <v>0.025</v>
      </c>
      <c r="J11" s="6">
        <v>0.015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8">
        <f t="shared" si="0"/>
        <v>99.5</v>
      </c>
      <c r="U11" s="7">
        <v>25</v>
      </c>
      <c r="V11" s="6">
        <v>25</v>
      </c>
      <c r="W11" s="6">
        <v>0</v>
      </c>
      <c r="X11" s="6" t="s">
        <v>53</v>
      </c>
      <c r="Y11" s="6" t="s">
        <v>35</v>
      </c>
      <c r="Z11" s="6" t="s">
        <v>36</v>
      </c>
      <c r="AA11" s="6" t="s">
        <v>37</v>
      </c>
      <c r="AB11" s="6" t="s">
        <v>37</v>
      </c>
      <c r="AC11" s="6" t="s">
        <v>53</v>
      </c>
      <c r="AD11" s="26" t="s">
        <v>39</v>
      </c>
      <c r="AE11" s="7">
        <v>145</v>
      </c>
      <c r="AF11" s="6">
        <v>159</v>
      </c>
      <c r="AG11" s="10">
        <v>7</v>
      </c>
      <c r="AH11" s="31" t="s">
        <v>54</v>
      </c>
    </row>
    <row r="12" ht="13.9" spans="1:34">
      <c r="A12" s="6">
        <v>1050</v>
      </c>
      <c r="B12" s="7">
        <v>0.125</v>
      </c>
      <c r="C12" s="6">
        <v>0.235</v>
      </c>
      <c r="D12" s="6">
        <v>0.025</v>
      </c>
      <c r="E12" s="6">
        <v>0.025</v>
      </c>
      <c r="F12" s="6">
        <v>0.025</v>
      </c>
      <c r="G12" s="6">
        <v>0</v>
      </c>
      <c r="H12" s="6">
        <v>0.025</v>
      </c>
      <c r="I12" s="6">
        <v>0.025</v>
      </c>
      <c r="J12" s="6">
        <v>0.015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8">
        <f t="shared" si="0"/>
        <v>99.5</v>
      </c>
      <c r="U12" s="7">
        <v>25</v>
      </c>
      <c r="V12" s="6">
        <v>25</v>
      </c>
      <c r="W12" s="6">
        <v>0</v>
      </c>
      <c r="X12" s="6" t="s">
        <v>53</v>
      </c>
      <c r="Y12" s="6" t="s">
        <v>35</v>
      </c>
      <c r="Z12" s="6" t="s">
        <v>55</v>
      </c>
      <c r="AA12" s="6" t="s">
        <v>37</v>
      </c>
      <c r="AB12" s="6" t="s">
        <v>37</v>
      </c>
      <c r="AC12" s="6" t="s">
        <v>53</v>
      </c>
      <c r="AD12" s="26" t="s">
        <v>56</v>
      </c>
      <c r="AE12" s="7">
        <v>124</v>
      </c>
      <c r="AF12" s="6">
        <v>131</v>
      </c>
      <c r="AG12" s="10">
        <v>8</v>
      </c>
      <c r="AH12" s="31" t="s">
        <v>54</v>
      </c>
    </row>
    <row r="13" ht="13.9" spans="1:34">
      <c r="A13" s="6">
        <v>1050</v>
      </c>
      <c r="B13" s="7">
        <v>0.125</v>
      </c>
      <c r="C13" s="6">
        <v>0.235</v>
      </c>
      <c r="D13" s="6">
        <v>0.025</v>
      </c>
      <c r="E13" s="6">
        <v>0.025</v>
      </c>
      <c r="F13" s="6">
        <v>0.025</v>
      </c>
      <c r="G13" s="6">
        <v>0</v>
      </c>
      <c r="H13" s="6">
        <v>0.025</v>
      </c>
      <c r="I13" s="6">
        <v>0.025</v>
      </c>
      <c r="J13" s="6">
        <v>0.015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8">
        <f t="shared" si="0"/>
        <v>99.5</v>
      </c>
      <c r="U13" s="7">
        <v>25</v>
      </c>
      <c r="V13" s="6">
        <v>25</v>
      </c>
      <c r="W13" s="6">
        <v>0</v>
      </c>
      <c r="X13" s="6" t="s">
        <v>53</v>
      </c>
      <c r="Y13" s="6" t="s">
        <v>35</v>
      </c>
      <c r="Z13" s="6" t="s">
        <v>46</v>
      </c>
      <c r="AA13" s="6" t="s">
        <v>37</v>
      </c>
      <c r="AB13" s="6" t="s">
        <v>37</v>
      </c>
      <c r="AC13" s="6" t="s">
        <v>53</v>
      </c>
      <c r="AD13" s="26" t="s">
        <v>47</v>
      </c>
      <c r="AE13" s="7">
        <v>103</v>
      </c>
      <c r="AF13" s="6">
        <v>110</v>
      </c>
      <c r="AG13" s="10">
        <v>10</v>
      </c>
      <c r="AH13" s="31" t="s">
        <v>54</v>
      </c>
    </row>
    <row r="14" ht="13.9" spans="1:34">
      <c r="A14" s="6">
        <v>1050</v>
      </c>
      <c r="B14" s="7">
        <v>0.125</v>
      </c>
      <c r="C14" s="6">
        <v>0.235</v>
      </c>
      <c r="D14" s="6">
        <v>0.025</v>
      </c>
      <c r="E14" s="6">
        <v>0.025</v>
      </c>
      <c r="F14" s="6">
        <v>0.025</v>
      </c>
      <c r="G14" s="6">
        <v>0</v>
      </c>
      <c r="H14" s="6">
        <v>0.025</v>
      </c>
      <c r="I14" s="6">
        <v>0.025</v>
      </c>
      <c r="J14" s="6">
        <v>0.015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8">
        <f t="shared" si="0"/>
        <v>99.5</v>
      </c>
      <c r="U14" s="7">
        <v>600</v>
      </c>
      <c r="V14" s="6">
        <v>25</v>
      </c>
      <c r="W14" s="6">
        <v>0</v>
      </c>
      <c r="X14" s="6" t="s">
        <v>53</v>
      </c>
      <c r="Y14" s="6" t="s">
        <v>50</v>
      </c>
      <c r="Z14" s="6" t="s">
        <v>37</v>
      </c>
      <c r="AA14" s="6" t="s">
        <v>37</v>
      </c>
      <c r="AB14" s="6" t="s">
        <v>37</v>
      </c>
      <c r="AC14" s="6" t="s">
        <v>53</v>
      </c>
      <c r="AD14" s="26" t="s">
        <v>57</v>
      </c>
      <c r="AE14" s="7">
        <v>28</v>
      </c>
      <c r="AF14" s="6">
        <v>76</v>
      </c>
      <c r="AG14" s="10">
        <v>39</v>
      </c>
      <c r="AH14" s="31" t="s">
        <v>58</v>
      </c>
    </row>
    <row r="15" ht="13.9" spans="1:34">
      <c r="A15" s="6">
        <v>1050</v>
      </c>
      <c r="B15" s="7">
        <v>0.125</v>
      </c>
      <c r="C15" s="6">
        <v>0.235</v>
      </c>
      <c r="D15" s="6">
        <v>0.025</v>
      </c>
      <c r="E15" s="6">
        <v>0.025</v>
      </c>
      <c r="F15" s="6">
        <v>0.025</v>
      </c>
      <c r="G15" s="6">
        <v>0</v>
      </c>
      <c r="H15" s="6">
        <v>0.025</v>
      </c>
      <c r="I15" s="6">
        <v>0.025</v>
      </c>
      <c r="J15" s="6">
        <v>0.015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8">
        <f t="shared" si="0"/>
        <v>99.5</v>
      </c>
      <c r="U15" s="7">
        <v>600</v>
      </c>
      <c r="V15" s="6">
        <v>25</v>
      </c>
      <c r="W15" s="6">
        <v>0</v>
      </c>
      <c r="X15" s="6" t="s">
        <v>42</v>
      </c>
      <c r="Y15" s="6" t="s">
        <v>50</v>
      </c>
      <c r="Z15" s="6" t="s">
        <v>37</v>
      </c>
      <c r="AA15" s="6" t="s">
        <v>37</v>
      </c>
      <c r="AB15" s="6" t="s">
        <v>37</v>
      </c>
      <c r="AC15" s="6" t="s">
        <v>59</v>
      </c>
      <c r="AD15" s="26" t="s">
        <v>57</v>
      </c>
      <c r="AE15" s="7">
        <v>50</v>
      </c>
      <c r="AF15" s="6" t="s">
        <v>40</v>
      </c>
      <c r="AG15" s="10" t="s">
        <v>40</v>
      </c>
      <c r="AH15" s="31" t="s">
        <v>60</v>
      </c>
    </row>
    <row r="16" ht="13.9" spans="1:34">
      <c r="A16" s="6">
        <v>1050</v>
      </c>
      <c r="B16" s="7">
        <v>0.04</v>
      </c>
      <c r="C16" s="6">
        <v>0.32</v>
      </c>
      <c r="D16" s="6">
        <v>0.02</v>
      </c>
      <c r="E16" s="6">
        <v>0</v>
      </c>
      <c r="F16" s="6">
        <v>0.01</v>
      </c>
      <c r="G16" s="6">
        <v>0</v>
      </c>
      <c r="H16" s="6">
        <v>0</v>
      </c>
      <c r="I16" s="6">
        <v>0.01</v>
      </c>
      <c r="J16" s="6">
        <v>0.02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8">
        <v>99.58</v>
      </c>
      <c r="U16" s="7">
        <v>25</v>
      </c>
      <c r="V16" s="6">
        <v>25</v>
      </c>
      <c r="W16" s="6">
        <v>0</v>
      </c>
      <c r="X16" s="6" t="s">
        <v>53</v>
      </c>
      <c r="Y16" s="6" t="s">
        <v>35</v>
      </c>
      <c r="Z16" s="6" t="s">
        <v>46</v>
      </c>
      <c r="AA16" s="6" t="s">
        <v>37</v>
      </c>
      <c r="AB16" s="6" t="s">
        <v>61</v>
      </c>
      <c r="AC16" s="6" t="s">
        <v>59</v>
      </c>
      <c r="AD16" s="26" t="s">
        <v>62</v>
      </c>
      <c r="AE16" s="7">
        <v>60.4</v>
      </c>
      <c r="AF16" s="6">
        <v>115.5</v>
      </c>
      <c r="AG16" s="10">
        <v>29.2</v>
      </c>
      <c r="AH16" s="31" t="s">
        <v>63</v>
      </c>
    </row>
    <row r="17" s="3" customFormat="1" spans="1:34">
      <c r="A17" s="3">
        <v>1050</v>
      </c>
      <c r="B17" s="16">
        <v>0.08</v>
      </c>
      <c r="C17" s="3">
        <v>0.27</v>
      </c>
      <c r="D17" s="3">
        <v>0.02</v>
      </c>
      <c r="E17" s="3">
        <v>0.01</v>
      </c>
      <c r="F17" s="3">
        <v>0.01</v>
      </c>
      <c r="G17" s="3">
        <v>0</v>
      </c>
      <c r="H17" s="3">
        <v>0.02</v>
      </c>
      <c r="I17" s="3">
        <v>0</v>
      </c>
      <c r="J17" s="3">
        <v>0.02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22">
        <v>99.57</v>
      </c>
      <c r="U17" s="16">
        <v>25</v>
      </c>
      <c r="V17" s="3">
        <v>25</v>
      </c>
      <c r="W17" s="3">
        <v>0</v>
      </c>
      <c r="X17" s="3" t="s">
        <v>53</v>
      </c>
      <c r="Y17" s="3" t="s">
        <v>35</v>
      </c>
      <c r="Z17" s="3" t="s">
        <v>46</v>
      </c>
      <c r="AA17" s="3" t="s">
        <v>37</v>
      </c>
      <c r="AB17" s="3" t="s">
        <v>61</v>
      </c>
      <c r="AC17" s="3" t="s">
        <v>59</v>
      </c>
      <c r="AD17" s="27" t="s">
        <v>62</v>
      </c>
      <c r="AE17" s="16">
        <v>69</v>
      </c>
      <c r="AF17" s="3">
        <v>117</v>
      </c>
      <c r="AG17" s="32">
        <v>26</v>
      </c>
      <c r="AH17" s="33" t="s">
        <v>64</v>
      </c>
    </row>
    <row r="18" ht="13.9" spans="1:34">
      <c r="A18" s="6">
        <v>1060</v>
      </c>
      <c r="B18" s="7">
        <v>0.125</v>
      </c>
      <c r="C18" s="6">
        <v>0.155</v>
      </c>
      <c r="D18" s="6">
        <v>0.025</v>
      </c>
      <c r="E18" s="6">
        <v>0.015</v>
      </c>
      <c r="F18" s="6">
        <v>0.015</v>
      </c>
      <c r="G18" s="6">
        <v>0</v>
      </c>
      <c r="H18" s="6">
        <v>0.025</v>
      </c>
      <c r="I18" s="6">
        <v>0.025</v>
      </c>
      <c r="J18" s="6">
        <v>0.015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8">
        <f t="shared" ref="T18:T52" si="1">100-SUM(B18:S18)</f>
        <v>99.6</v>
      </c>
      <c r="U18" s="7">
        <v>25</v>
      </c>
      <c r="V18" s="6">
        <v>25</v>
      </c>
      <c r="W18" s="6">
        <v>0</v>
      </c>
      <c r="X18" s="6" t="s">
        <v>42</v>
      </c>
      <c r="Y18" s="6" t="s">
        <v>35</v>
      </c>
      <c r="Z18" s="6" t="s">
        <v>36</v>
      </c>
      <c r="AA18" s="6" t="s">
        <v>37</v>
      </c>
      <c r="AB18" s="6" t="s">
        <v>37</v>
      </c>
      <c r="AC18" s="6" t="s">
        <v>43</v>
      </c>
      <c r="AD18" s="26" t="s">
        <v>39</v>
      </c>
      <c r="AE18" s="7">
        <v>124</v>
      </c>
      <c r="AF18" s="6">
        <v>131</v>
      </c>
      <c r="AG18" s="10">
        <v>6</v>
      </c>
      <c r="AH18" s="31" t="s">
        <v>54</v>
      </c>
    </row>
    <row r="19" ht="13.9" spans="1:34">
      <c r="A19" s="6">
        <v>1060</v>
      </c>
      <c r="B19" s="7">
        <v>0.125</v>
      </c>
      <c r="C19" s="6">
        <v>0.155</v>
      </c>
      <c r="D19" s="6">
        <v>0.025</v>
      </c>
      <c r="E19" s="6">
        <v>0.015</v>
      </c>
      <c r="F19" s="6">
        <v>0.015</v>
      </c>
      <c r="G19" s="6">
        <v>0</v>
      </c>
      <c r="H19" s="6">
        <v>0.025</v>
      </c>
      <c r="I19" s="6">
        <v>0.025</v>
      </c>
      <c r="J19" s="6">
        <v>0.015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8">
        <f t="shared" si="1"/>
        <v>99.6</v>
      </c>
      <c r="U19" s="7">
        <v>25</v>
      </c>
      <c r="V19" s="6">
        <v>25</v>
      </c>
      <c r="W19" s="6">
        <v>0</v>
      </c>
      <c r="X19" s="6" t="s">
        <v>42</v>
      </c>
      <c r="Y19" s="6" t="s">
        <v>35</v>
      </c>
      <c r="Z19" s="6" t="s">
        <v>55</v>
      </c>
      <c r="AA19" s="6" t="s">
        <v>37</v>
      </c>
      <c r="AB19" s="6" t="s">
        <v>37</v>
      </c>
      <c r="AC19" s="6" t="s">
        <v>43</v>
      </c>
      <c r="AD19" s="26" t="s">
        <v>56</v>
      </c>
      <c r="AE19" s="7">
        <v>103</v>
      </c>
      <c r="AF19" s="6">
        <v>110</v>
      </c>
      <c r="AG19" s="10">
        <v>8</v>
      </c>
      <c r="AH19" s="31" t="s">
        <v>54</v>
      </c>
    </row>
    <row r="20" ht="13.9" spans="1:34">
      <c r="A20" s="6">
        <v>1060</v>
      </c>
      <c r="B20" s="7">
        <v>0.125</v>
      </c>
      <c r="C20" s="6">
        <v>0.155</v>
      </c>
      <c r="D20" s="6">
        <v>0.025</v>
      </c>
      <c r="E20" s="6">
        <v>0.015</v>
      </c>
      <c r="F20" s="6">
        <v>0.015</v>
      </c>
      <c r="G20" s="6">
        <v>0</v>
      </c>
      <c r="H20" s="6">
        <v>0.025</v>
      </c>
      <c r="I20" s="6">
        <v>0.025</v>
      </c>
      <c r="J20" s="6">
        <v>0.015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8">
        <f t="shared" si="1"/>
        <v>99.6</v>
      </c>
      <c r="U20" s="7">
        <v>25</v>
      </c>
      <c r="V20" s="6">
        <v>25</v>
      </c>
      <c r="W20" s="6">
        <v>0</v>
      </c>
      <c r="X20" s="6" t="s">
        <v>34</v>
      </c>
      <c r="Y20" s="6" t="s">
        <v>35</v>
      </c>
      <c r="Z20" s="6" t="s">
        <v>36</v>
      </c>
      <c r="AA20" s="6" t="s">
        <v>37</v>
      </c>
      <c r="AB20" s="6" t="s">
        <v>37</v>
      </c>
      <c r="AC20" s="6" t="s">
        <v>45</v>
      </c>
      <c r="AD20" s="26" t="s">
        <v>39</v>
      </c>
      <c r="AE20" s="7">
        <v>90</v>
      </c>
      <c r="AF20" s="6">
        <v>110</v>
      </c>
      <c r="AG20" s="10" t="s">
        <v>40</v>
      </c>
      <c r="AH20" s="31" t="s">
        <v>54</v>
      </c>
    </row>
    <row r="21" ht="13.9" spans="1:34">
      <c r="A21" s="6">
        <v>1060</v>
      </c>
      <c r="B21" s="7">
        <v>0.125</v>
      </c>
      <c r="C21" s="6">
        <v>0.155</v>
      </c>
      <c r="D21" s="6">
        <v>0.025</v>
      </c>
      <c r="E21" s="6">
        <v>0.015</v>
      </c>
      <c r="F21" s="6">
        <v>0.015</v>
      </c>
      <c r="G21" s="6">
        <v>0</v>
      </c>
      <c r="H21" s="6">
        <v>0.025</v>
      </c>
      <c r="I21" s="6">
        <v>0.025</v>
      </c>
      <c r="J21" s="6">
        <v>0.015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8">
        <f t="shared" si="1"/>
        <v>99.6</v>
      </c>
      <c r="U21" s="7">
        <v>25</v>
      </c>
      <c r="V21" s="6">
        <v>25</v>
      </c>
      <c r="W21" s="6">
        <v>0</v>
      </c>
      <c r="X21" s="6" t="s">
        <v>42</v>
      </c>
      <c r="Y21" s="6" t="s">
        <v>35</v>
      </c>
      <c r="Z21" s="6" t="s">
        <v>36</v>
      </c>
      <c r="AA21" s="6" t="s">
        <v>37</v>
      </c>
      <c r="AB21" s="6" t="s">
        <v>37</v>
      </c>
      <c r="AC21" s="6" t="s">
        <v>59</v>
      </c>
      <c r="AD21" s="26" t="s">
        <v>39</v>
      </c>
      <c r="AE21" s="7">
        <v>83</v>
      </c>
      <c r="AF21" s="6">
        <v>110</v>
      </c>
      <c r="AG21" s="10">
        <v>2.5</v>
      </c>
      <c r="AH21" s="31" t="s">
        <v>54</v>
      </c>
    </row>
    <row r="22" ht="13.9" spans="1:34">
      <c r="A22" s="6">
        <v>1060</v>
      </c>
      <c r="B22" s="7">
        <v>0.125</v>
      </c>
      <c r="C22" s="6">
        <v>0.155</v>
      </c>
      <c r="D22" s="6">
        <v>0.025</v>
      </c>
      <c r="E22" s="6">
        <v>0.015</v>
      </c>
      <c r="F22" s="6">
        <v>0.015</v>
      </c>
      <c r="G22" s="6">
        <v>0</v>
      </c>
      <c r="H22" s="6">
        <v>0.025</v>
      </c>
      <c r="I22" s="6">
        <v>0.025</v>
      </c>
      <c r="J22" s="6">
        <v>0.015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8">
        <f t="shared" si="1"/>
        <v>99.6</v>
      </c>
      <c r="U22" s="7">
        <v>25</v>
      </c>
      <c r="V22" s="6">
        <v>25</v>
      </c>
      <c r="W22" s="6">
        <v>0</v>
      </c>
      <c r="X22" s="6" t="s">
        <v>42</v>
      </c>
      <c r="Y22" s="6" t="s">
        <v>35</v>
      </c>
      <c r="Z22" s="6" t="s">
        <v>46</v>
      </c>
      <c r="AA22" s="6" t="s">
        <v>37</v>
      </c>
      <c r="AB22" s="6" t="s">
        <v>37</v>
      </c>
      <c r="AC22" s="6" t="s">
        <v>59</v>
      </c>
      <c r="AD22" s="26" t="s">
        <v>47</v>
      </c>
      <c r="AE22" s="7">
        <v>70</v>
      </c>
      <c r="AF22" s="6">
        <v>99</v>
      </c>
      <c r="AG22" s="10">
        <v>5.5</v>
      </c>
      <c r="AH22" s="31" t="s">
        <v>54</v>
      </c>
    </row>
    <row r="23" ht="13.9" spans="1:34">
      <c r="A23" s="6">
        <v>1060</v>
      </c>
      <c r="B23" s="7">
        <v>0.125</v>
      </c>
      <c r="C23" s="6">
        <v>0.155</v>
      </c>
      <c r="D23" s="6">
        <v>0.025</v>
      </c>
      <c r="E23" s="6">
        <v>0.015</v>
      </c>
      <c r="F23" s="6">
        <v>0.015</v>
      </c>
      <c r="G23" s="6">
        <v>0</v>
      </c>
      <c r="H23" s="6">
        <v>0.025</v>
      </c>
      <c r="I23" s="6">
        <v>0.025</v>
      </c>
      <c r="J23" s="6">
        <v>0.015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8">
        <f t="shared" si="1"/>
        <v>99.6</v>
      </c>
      <c r="U23" s="7">
        <v>25</v>
      </c>
      <c r="V23" s="6">
        <v>25</v>
      </c>
      <c r="W23" s="6">
        <v>0</v>
      </c>
      <c r="X23" s="6" t="s">
        <v>42</v>
      </c>
      <c r="Y23" s="6" t="s">
        <v>35</v>
      </c>
      <c r="Z23" s="6" t="s">
        <v>46</v>
      </c>
      <c r="AA23" s="6" t="s">
        <v>37</v>
      </c>
      <c r="AB23" s="6" t="s">
        <v>37</v>
      </c>
      <c r="AC23" s="6" t="s">
        <v>43</v>
      </c>
      <c r="AD23" s="26" t="s">
        <v>47</v>
      </c>
      <c r="AE23" s="7">
        <v>90</v>
      </c>
      <c r="AF23" s="6">
        <v>97</v>
      </c>
      <c r="AG23" s="10">
        <v>12</v>
      </c>
      <c r="AH23" s="31" t="s">
        <v>54</v>
      </c>
    </row>
    <row r="24" ht="13.9" spans="1:34">
      <c r="A24" s="6">
        <v>1060</v>
      </c>
      <c r="B24" s="7">
        <v>0.125</v>
      </c>
      <c r="C24" s="6">
        <v>0.155</v>
      </c>
      <c r="D24" s="6">
        <v>0.025</v>
      </c>
      <c r="E24" s="6">
        <v>0.015</v>
      </c>
      <c r="F24" s="6">
        <v>0.015</v>
      </c>
      <c r="G24" s="6">
        <v>0</v>
      </c>
      <c r="H24" s="6">
        <v>0.025</v>
      </c>
      <c r="I24" s="6">
        <v>0.025</v>
      </c>
      <c r="J24" s="6">
        <v>0.015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8">
        <f t="shared" si="1"/>
        <v>99.6</v>
      </c>
      <c r="U24" s="7">
        <v>25</v>
      </c>
      <c r="V24" s="6">
        <v>25</v>
      </c>
      <c r="W24" s="6">
        <v>0</v>
      </c>
      <c r="X24" s="6" t="s">
        <v>42</v>
      </c>
      <c r="Y24" s="6" t="s">
        <v>35</v>
      </c>
      <c r="Z24" s="6" t="s">
        <v>65</v>
      </c>
      <c r="AA24" s="6" t="s">
        <v>37</v>
      </c>
      <c r="AB24" s="6" t="s">
        <v>37</v>
      </c>
      <c r="AC24" s="6" t="s">
        <v>59</v>
      </c>
      <c r="AD24" s="26" t="s">
        <v>66</v>
      </c>
      <c r="AE24" s="7">
        <v>62</v>
      </c>
      <c r="AF24" s="6">
        <v>92.5</v>
      </c>
      <c r="AG24" s="10">
        <v>9</v>
      </c>
      <c r="AH24" s="31" t="s">
        <v>54</v>
      </c>
    </row>
    <row r="25" ht="13.9" spans="1:34">
      <c r="A25" s="6">
        <v>1060</v>
      </c>
      <c r="B25" s="7">
        <v>0.125</v>
      </c>
      <c r="C25" s="6">
        <v>0.155</v>
      </c>
      <c r="D25" s="6">
        <v>0.025</v>
      </c>
      <c r="E25" s="6">
        <v>0.015</v>
      </c>
      <c r="F25" s="6">
        <v>0.015</v>
      </c>
      <c r="G25" s="6">
        <v>0</v>
      </c>
      <c r="H25" s="6">
        <v>0.025</v>
      </c>
      <c r="I25" s="6">
        <v>0.025</v>
      </c>
      <c r="J25" s="6">
        <v>0.015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8">
        <f t="shared" si="1"/>
        <v>99.6</v>
      </c>
      <c r="U25" s="7">
        <v>25</v>
      </c>
      <c r="V25" s="6">
        <v>25</v>
      </c>
      <c r="W25" s="6">
        <v>0</v>
      </c>
      <c r="X25" s="6" t="s">
        <v>42</v>
      </c>
      <c r="Y25" s="6" t="s">
        <v>35</v>
      </c>
      <c r="Z25" s="6" t="s">
        <v>65</v>
      </c>
      <c r="AA25" s="6" t="s">
        <v>37</v>
      </c>
      <c r="AB25" s="6" t="s">
        <v>37</v>
      </c>
      <c r="AC25" s="6" t="s">
        <v>43</v>
      </c>
      <c r="AD25" s="26" t="s">
        <v>66</v>
      </c>
      <c r="AE25" s="7">
        <v>76</v>
      </c>
      <c r="AF25" s="6">
        <v>83</v>
      </c>
      <c r="AG25" s="10">
        <v>16</v>
      </c>
      <c r="AH25" s="31" t="s">
        <v>54</v>
      </c>
    </row>
    <row r="26" ht="13.9" spans="1:34">
      <c r="A26" s="6">
        <v>1060</v>
      </c>
      <c r="B26" s="7">
        <v>0.125</v>
      </c>
      <c r="C26" s="6">
        <v>0.155</v>
      </c>
      <c r="D26" s="6">
        <v>0.025</v>
      </c>
      <c r="E26" s="6">
        <v>0.015</v>
      </c>
      <c r="F26" s="6">
        <v>0.015</v>
      </c>
      <c r="G26" s="6">
        <v>0</v>
      </c>
      <c r="H26" s="6">
        <v>0.025</v>
      </c>
      <c r="I26" s="6">
        <v>0.025</v>
      </c>
      <c r="J26" s="6">
        <v>0.015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8">
        <f t="shared" si="1"/>
        <v>99.6</v>
      </c>
      <c r="U26" s="7">
        <v>25</v>
      </c>
      <c r="V26" s="6">
        <v>25</v>
      </c>
      <c r="W26" s="6">
        <v>0</v>
      </c>
      <c r="X26" s="6" t="s">
        <v>34</v>
      </c>
      <c r="Y26" s="6" t="s">
        <v>35</v>
      </c>
      <c r="Z26" s="6" t="s">
        <v>46</v>
      </c>
      <c r="AA26" s="6" t="s">
        <v>37</v>
      </c>
      <c r="AB26" s="6" t="s">
        <v>37</v>
      </c>
      <c r="AC26" s="6" t="s">
        <v>45</v>
      </c>
      <c r="AD26" s="26" t="s">
        <v>47</v>
      </c>
      <c r="AE26" s="7">
        <v>70</v>
      </c>
      <c r="AF26" s="6">
        <v>83</v>
      </c>
      <c r="AG26" s="10" t="s">
        <v>40</v>
      </c>
      <c r="AH26" s="31" t="s">
        <v>54</v>
      </c>
    </row>
    <row r="27" ht="13.9" spans="1:34">
      <c r="A27" s="6">
        <v>1060</v>
      </c>
      <c r="B27" s="7">
        <v>0.125</v>
      </c>
      <c r="C27" s="6">
        <v>0.155</v>
      </c>
      <c r="D27" s="6">
        <v>0.025</v>
      </c>
      <c r="E27" s="6">
        <v>0.015</v>
      </c>
      <c r="F27" s="6">
        <v>0.015</v>
      </c>
      <c r="G27" s="6">
        <v>0</v>
      </c>
      <c r="H27" s="6">
        <v>0.025</v>
      </c>
      <c r="I27" s="6">
        <v>0.025</v>
      </c>
      <c r="J27" s="6">
        <v>0.015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8">
        <f t="shared" si="1"/>
        <v>99.6</v>
      </c>
      <c r="U27" s="7">
        <v>25</v>
      </c>
      <c r="V27" s="6">
        <v>25</v>
      </c>
      <c r="W27" s="6">
        <v>0</v>
      </c>
      <c r="X27" s="6" t="s">
        <v>44</v>
      </c>
      <c r="Y27" s="6" t="s">
        <v>35</v>
      </c>
      <c r="Z27" s="6" t="s">
        <v>46</v>
      </c>
      <c r="AA27" s="6" t="s">
        <v>37</v>
      </c>
      <c r="AB27" s="6" t="s">
        <v>37</v>
      </c>
      <c r="AC27" s="6" t="s">
        <v>45</v>
      </c>
      <c r="AD27" s="26" t="s">
        <v>47</v>
      </c>
      <c r="AE27" s="7">
        <v>70</v>
      </c>
      <c r="AF27" s="6">
        <v>83</v>
      </c>
      <c r="AG27" s="10" t="s">
        <v>40</v>
      </c>
      <c r="AH27" s="31" t="s">
        <v>54</v>
      </c>
    </row>
    <row r="28" ht="13.9" spans="1:34">
      <c r="A28" s="6">
        <v>1060</v>
      </c>
      <c r="B28" s="7">
        <v>0.125</v>
      </c>
      <c r="C28" s="6">
        <v>0.155</v>
      </c>
      <c r="D28" s="6">
        <v>0.025</v>
      </c>
      <c r="E28" s="6">
        <v>0.015</v>
      </c>
      <c r="F28" s="6">
        <v>0.015</v>
      </c>
      <c r="G28" s="6">
        <v>0</v>
      </c>
      <c r="H28" s="6">
        <v>0.025</v>
      </c>
      <c r="I28" s="6">
        <v>0.025</v>
      </c>
      <c r="J28" s="6">
        <v>0.015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8">
        <f t="shared" si="1"/>
        <v>99.6</v>
      </c>
      <c r="U28" s="7">
        <v>25</v>
      </c>
      <c r="V28" s="6">
        <v>25</v>
      </c>
      <c r="W28" s="6">
        <v>0</v>
      </c>
      <c r="X28" s="6" t="s">
        <v>44</v>
      </c>
      <c r="Y28" s="6" t="s">
        <v>35</v>
      </c>
      <c r="Z28" s="6" t="s">
        <v>67</v>
      </c>
      <c r="AA28" s="6" t="s">
        <v>37</v>
      </c>
      <c r="AB28" s="6" t="s">
        <v>37</v>
      </c>
      <c r="AC28" s="6" t="s">
        <v>45</v>
      </c>
      <c r="AD28" s="26" t="s">
        <v>68</v>
      </c>
      <c r="AE28" s="7">
        <v>17</v>
      </c>
      <c r="AF28" s="6">
        <v>76.5</v>
      </c>
      <c r="AG28" s="10">
        <v>30</v>
      </c>
      <c r="AH28" s="31" t="s">
        <v>54</v>
      </c>
    </row>
    <row r="29" ht="13.9" spans="1:34">
      <c r="A29" s="6">
        <v>1060</v>
      </c>
      <c r="B29" s="7">
        <v>0.125</v>
      </c>
      <c r="C29" s="6">
        <v>0.155</v>
      </c>
      <c r="D29" s="6">
        <v>0.025</v>
      </c>
      <c r="E29" s="6">
        <v>0.015</v>
      </c>
      <c r="F29" s="6">
        <v>0.015</v>
      </c>
      <c r="G29" s="6">
        <v>0</v>
      </c>
      <c r="H29" s="6">
        <v>0.025</v>
      </c>
      <c r="I29" s="6">
        <v>0.025</v>
      </c>
      <c r="J29" s="6">
        <v>0.015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8">
        <f t="shared" si="1"/>
        <v>99.6</v>
      </c>
      <c r="U29" s="7">
        <v>345</v>
      </c>
      <c r="V29" s="6">
        <v>25</v>
      </c>
      <c r="W29" s="6">
        <v>0</v>
      </c>
      <c r="X29" s="6" t="s">
        <v>44</v>
      </c>
      <c r="Y29" s="6" t="s">
        <v>50</v>
      </c>
      <c r="Z29" s="6" t="s">
        <v>37</v>
      </c>
      <c r="AA29" s="6" t="s">
        <v>37</v>
      </c>
      <c r="AB29" s="6" t="s">
        <v>37</v>
      </c>
      <c r="AC29" s="6" t="s">
        <v>45</v>
      </c>
      <c r="AD29" s="26" t="s">
        <v>57</v>
      </c>
      <c r="AE29" s="7">
        <v>17</v>
      </c>
      <c r="AF29" s="6">
        <v>76.5</v>
      </c>
      <c r="AG29" s="10" t="s">
        <v>40</v>
      </c>
      <c r="AH29" s="31" t="s">
        <v>54</v>
      </c>
    </row>
    <row r="30" ht="13.9" spans="1:34">
      <c r="A30" s="6">
        <v>1060</v>
      </c>
      <c r="B30" s="7">
        <v>0.125</v>
      </c>
      <c r="C30" s="6">
        <v>0.155</v>
      </c>
      <c r="D30" s="6">
        <v>0.025</v>
      </c>
      <c r="E30" s="6">
        <v>0.015</v>
      </c>
      <c r="F30" s="6">
        <v>0.015</v>
      </c>
      <c r="G30" s="6">
        <v>0</v>
      </c>
      <c r="H30" s="6">
        <v>0.025</v>
      </c>
      <c r="I30" s="6">
        <v>0.025</v>
      </c>
      <c r="J30" s="6">
        <v>0.015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8">
        <f t="shared" si="1"/>
        <v>99.6</v>
      </c>
      <c r="U30" s="7">
        <v>345</v>
      </c>
      <c r="V30" s="6">
        <v>25</v>
      </c>
      <c r="W30" s="6">
        <v>0</v>
      </c>
      <c r="X30" s="6" t="s">
        <v>42</v>
      </c>
      <c r="Y30" s="6" t="s">
        <v>50</v>
      </c>
      <c r="Z30" s="6" t="s">
        <v>37</v>
      </c>
      <c r="AA30" s="6" t="s">
        <v>37</v>
      </c>
      <c r="AB30" s="6" t="s">
        <v>37</v>
      </c>
      <c r="AC30" s="6" t="s">
        <v>59</v>
      </c>
      <c r="AD30" s="26" t="s">
        <v>57</v>
      </c>
      <c r="AE30" s="7">
        <v>17</v>
      </c>
      <c r="AF30" s="6">
        <v>75</v>
      </c>
      <c r="AG30" s="10">
        <v>20</v>
      </c>
      <c r="AH30" s="31" t="s">
        <v>54</v>
      </c>
    </row>
    <row r="31" ht="13.9" spans="1:34">
      <c r="A31" s="6">
        <v>1060</v>
      </c>
      <c r="B31" s="7">
        <v>0.125</v>
      </c>
      <c r="C31" s="6">
        <v>0.155</v>
      </c>
      <c r="D31" s="6">
        <v>0.025</v>
      </c>
      <c r="E31" s="6">
        <v>0.015</v>
      </c>
      <c r="F31" s="6">
        <v>0.015</v>
      </c>
      <c r="G31" s="6">
        <v>0</v>
      </c>
      <c r="H31" s="6">
        <v>0.025</v>
      </c>
      <c r="I31" s="6">
        <v>0.025</v>
      </c>
      <c r="J31" s="6">
        <v>0.015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8">
        <f t="shared" si="1"/>
        <v>99.6</v>
      </c>
      <c r="U31" s="7">
        <v>25</v>
      </c>
      <c r="V31" s="6">
        <v>25</v>
      </c>
      <c r="W31" s="6">
        <v>0</v>
      </c>
      <c r="X31" s="6" t="s">
        <v>42</v>
      </c>
      <c r="Y31" s="6" t="s">
        <v>35</v>
      </c>
      <c r="Z31" s="6" t="s">
        <v>67</v>
      </c>
      <c r="AA31" s="6" t="s">
        <v>37</v>
      </c>
      <c r="AB31" s="6" t="s">
        <v>37</v>
      </c>
      <c r="AC31" s="6" t="s">
        <v>59</v>
      </c>
      <c r="AD31" s="26" t="s">
        <v>68</v>
      </c>
      <c r="AE31" s="7" t="s">
        <v>40</v>
      </c>
      <c r="AF31" s="6">
        <v>73</v>
      </c>
      <c r="AG31" s="34" t="s">
        <v>40</v>
      </c>
      <c r="AH31" s="31" t="s">
        <v>54</v>
      </c>
    </row>
    <row r="32" ht="14.25" customHeight="1" spans="1:34">
      <c r="A32" s="6">
        <v>1060</v>
      </c>
      <c r="B32" s="7">
        <v>0.125</v>
      </c>
      <c r="C32" s="6">
        <v>0.155</v>
      </c>
      <c r="D32" s="6">
        <v>0.025</v>
      </c>
      <c r="E32" s="6">
        <v>0.015</v>
      </c>
      <c r="F32" s="6">
        <v>0.015</v>
      </c>
      <c r="G32" s="6">
        <v>0</v>
      </c>
      <c r="H32" s="6">
        <v>0.025</v>
      </c>
      <c r="I32" s="6">
        <v>0.025</v>
      </c>
      <c r="J32" s="6">
        <v>0.015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8">
        <f t="shared" si="1"/>
        <v>99.6</v>
      </c>
      <c r="U32" s="7">
        <v>25</v>
      </c>
      <c r="V32" s="6">
        <v>25</v>
      </c>
      <c r="W32" s="6">
        <v>0</v>
      </c>
      <c r="X32" s="6" t="s">
        <v>34</v>
      </c>
      <c r="Y32" s="6" t="s">
        <v>35</v>
      </c>
      <c r="Z32" s="6" t="s">
        <v>65</v>
      </c>
      <c r="AA32" s="6" t="s">
        <v>37</v>
      </c>
      <c r="AB32" s="6" t="s">
        <v>37</v>
      </c>
      <c r="AC32" s="6" t="s">
        <v>45</v>
      </c>
      <c r="AD32" s="26" t="s">
        <v>66</v>
      </c>
      <c r="AE32" s="7">
        <v>28</v>
      </c>
      <c r="AF32" s="6">
        <v>70</v>
      </c>
      <c r="AG32" s="10" t="s">
        <v>40</v>
      </c>
      <c r="AH32" s="31" t="s">
        <v>54</v>
      </c>
    </row>
    <row r="33" ht="13.9" spans="1:34">
      <c r="A33" s="6">
        <v>1060</v>
      </c>
      <c r="B33" s="7">
        <v>0.125</v>
      </c>
      <c r="C33" s="6">
        <v>0.155</v>
      </c>
      <c r="D33" s="6">
        <v>0.025</v>
      </c>
      <c r="E33" s="6">
        <v>0.015</v>
      </c>
      <c r="F33" s="6">
        <v>0.015</v>
      </c>
      <c r="G33" s="6">
        <v>0</v>
      </c>
      <c r="H33" s="6">
        <v>0.025</v>
      </c>
      <c r="I33" s="6">
        <v>0.025</v>
      </c>
      <c r="J33" s="6">
        <v>0.015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8">
        <f t="shared" si="1"/>
        <v>99.6</v>
      </c>
      <c r="U33" s="7">
        <v>345</v>
      </c>
      <c r="V33" s="6">
        <v>25</v>
      </c>
      <c r="W33" s="6">
        <v>0</v>
      </c>
      <c r="X33" s="6" t="s">
        <v>42</v>
      </c>
      <c r="Y33" s="6" t="s">
        <v>50</v>
      </c>
      <c r="Z33" s="6" t="s">
        <v>37</v>
      </c>
      <c r="AA33" s="6" t="s">
        <v>37</v>
      </c>
      <c r="AB33" s="6" t="s">
        <v>37</v>
      </c>
      <c r="AC33" s="6" t="s">
        <v>43</v>
      </c>
      <c r="AD33" s="26" t="s">
        <v>57</v>
      </c>
      <c r="AE33" s="7">
        <v>28</v>
      </c>
      <c r="AF33" s="6">
        <v>69</v>
      </c>
      <c r="AG33" s="10">
        <v>43</v>
      </c>
      <c r="AH33" s="31" t="s">
        <v>54</v>
      </c>
    </row>
    <row r="34" ht="13.9" spans="1:34">
      <c r="A34" s="6">
        <v>1060</v>
      </c>
      <c r="B34" s="7">
        <v>0.125</v>
      </c>
      <c r="C34" s="6">
        <v>0.155</v>
      </c>
      <c r="D34" s="6">
        <v>0.025</v>
      </c>
      <c r="E34" s="6">
        <v>0.015</v>
      </c>
      <c r="F34" s="6">
        <v>0.015</v>
      </c>
      <c r="G34" s="6">
        <v>0</v>
      </c>
      <c r="H34" s="6">
        <v>0.025</v>
      </c>
      <c r="I34" s="6">
        <v>0.025</v>
      </c>
      <c r="J34" s="6">
        <v>0.015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8">
        <f t="shared" si="1"/>
        <v>99.6</v>
      </c>
      <c r="U34" s="7">
        <v>345</v>
      </c>
      <c r="V34" s="6">
        <v>25</v>
      </c>
      <c r="W34" s="6">
        <v>0</v>
      </c>
      <c r="X34" s="6" t="s">
        <v>42</v>
      </c>
      <c r="Y34" s="6" t="s">
        <v>50</v>
      </c>
      <c r="Z34" s="6" t="s">
        <v>67</v>
      </c>
      <c r="AA34" s="6" t="s">
        <v>37</v>
      </c>
      <c r="AB34" s="6" t="s">
        <v>37</v>
      </c>
      <c r="AC34" s="6" t="s">
        <v>59</v>
      </c>
      <c r="AD34" s="26" t="s">
        <v>68</v>
      </c>
      <c r="AE34" s="7" t="s">
        <v>40</v>
      </c>
      <c r="AF34" s="6">
        <v>62</v>
      </c>
      <c r="AG34" s="10">
        <v>25</v>
      </c>
      <c r="AH34" s="31" t="s">
        <v>54</v>
      </c>
    </row>
    <row r="35" ht="13.9" spans="1:34">
      <c r="A35" s="6">
        <v>1060</v>
      </c>
      <c r="B35" s="7">
        <v>0.125</v>
      </c>
      <c r="C35" s="6">
        <v>0.155</v>
      </c>
      <c r="D35" s="6">
        <v>0.025</v>
      </c>
      <c r="E35" s="6">
        <v>0.015</v>
      </c>
      <c r="F35" s="6">
        <v>0.015</v>
      </c>
      <c r="G35" s="6">
        <v>0</v>
      </c>
      <c r="H35" s="6">
        <v>0.025</v>
      </c>
      <c r="I35" s="6">
        <v>0.025</v>
      </c>
      <c r="J35" s="6">
        <v>0.015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8">
        <f t="shared" si="1"/>
        <v>99.6</v>
      </c>
      <c r="U35" s="7">
        <v>25</v>
      </c>
      <c r="V35" s="6">
        <v>25</v>
      </c>
      <c r="W35" s="6">
        <v>0</v>
      </c>
      <c r="X35" s="6" t="s">
        <v>34</v>
      </c>
      <c r="Y35" s="6" t="s">
        <v>35</v>
      </c>
      <c r="Z35" s="6" t="s">
        <v>67</v>
      </c>
      <c r="AA35" s="6" t="s">
        <v>37</v>
      </c>
      <c r="AB35" s="6" t="s">
        <v>37</v>
      </c>
      <c r="AC35" s="6" t="s">
        <v>45</v>
      </c>
      <c r="AD35" s="26" t="s">
        <v>68</v>
      </c>
      <c r="AE35" s="7">
        <v>17</v>
      </c>
      <c r="AF35" s="6">
        <v>58</v>
      </c>
      <c r="AG35" s="10" t="s">
        <v>40</v>
      </c>
      <c r="AH35" s="31" t="s">
        <v>54</v>
      </c>
    </row>
    <row r="36" s="3" customFormat="1" ht="13.9" spans="1:34">
      <c r="A36" s="3">
        <v>1060</v>
      </c>
      <c r="B36" s="16">
        <v>0.125</v>
      </c>
      <c r="C36" s="3">
        <v>0.155</v>
      </c>
      <c r="D36" s="3">
        <v>0.025</v>
      </c>
      <c r="E36" s="3">
        <v>0.015</v>
      </c>
      <c r="F36" s="3">
        <v>0.015</v>
      </c>
      <c r="G36" s="3">
        <v>0</v>
      </c>
      <c r="H36" s="3">
        <v>0.025</v>
      </c>
      <c r="I36" s="3">
        <v>0.025</v>
      </c>
      <c r="J36" s="3">
        <v>0.015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22">
        <f t="shared" si="1"/>
        <v>99.6</v>
      </c>
      <c r="U36" s="16">
        <v>345</v>
      </c>
      <c r="V36" s="3">
        <v>25</v>
      </c>
      <c r="W36" s="3">
        <v>0</v>
      </c>
      <c r="X36" s="3" t="s">
        <v>34</v>
      </c>
      <c r="Y36" s="3" t="s">
        <v>50</v>
      </c>
      <c r="Z36" s="3" t="s">
        <v>37</v>
      </c>
      <c r="AA36" s="3" t="s">
        <v>37</v>
      </c>
      <c r="AB36" s="3" t="s">
        <v>37</v>
      </c>
      <c r="AC36" s="3" t="s">
        <v>45</v>
      </c>
      <c r="AD36" s="27" t="s">
        <v>57</v>
      </c>
      <c r="AE36" s="16">
        <v>17</v>
      </c>
      <c r="AF36" s="3">
        <v>58</v>
      </c>
      <c r="AG36" s="32" t="s">
        <v>40</v>
      </c>
      <c r="AH36" s="33" t="s">
        <v>54</v>
      </c>
    </row>
    <row r="37" ht="13.9" spans="1:34">
      <c r="A37" s="6">
        <v>1100</v>
      </c>
      <c r="B37" s="7">
        <v>0.35</v>
      </c>
      <c r="C37" s="6">
        <v>0.35</v>
      </c>
      <c r="D37" s="6">
        <v>0.2</v>
      </c>
      <c r="E37" s="6">
        <v>0.035</v>
      </c>
      <c r="F37" s="6">
        <v>0</v>
      </c>
      <c r="G37" s="6">
        <v>0</v>
      </c>
      <c r="H37" s="6">
        <v>0.065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8">
        <f t="shared" si="1"/>
        <v>99</v>
      </c>
      <c r="U37" s="7">
        <v>25</v>
      </c>
      <c r="V37" s="6">
        <v>25</v>
      </c>
      <c r="W37" s="6">
        <v>0</v>
      </c>
      <c r="X37" s="6" t="s">
        <v>34</v>
      </c>
      <c r="Y37" s="6" t="s">
        <v>35</v>
      </c>
      <c r="Z37" s="6" t="s">
        <v>36</v>
      </c>
      <c r="AA37" s="6" t="s">
        <v>37</v>
      </c>
      <c r="AB37" s="6" t="s">
        <v>37</v>
      </c>
      <c r="AC37" s="6" t="s">
        <v>45</v>
      </c>
      <c r="AD37" s="26" t="s">
        <v>39</v>
      </c>
      <c r="AE37" s="7">
        <v>150</v>
      </c>
      <c r="AF37" s="6" t="s">
        <v>40</v>
      </c>
      <c r="AG37" s="10" t="s">
        <v>40</v>
      </c>
      <c r="AH37" s="31" t="s">
        <v>54</v>
      </c>
    </row>
    <row r="38" ht="13.9" spans="1:34">
      <c r="A38" s="6">
        <v>1100</v>
      </c>
      <c r="B38" s="7">
        <v>0.35</v>
      </c>
      <c r="C38" s="6">
        <v>0.35</v>
      </c>
      <c r="D38" s="6">
        <v>0.2</v>
      </c>
      <c r="E38" s="6">
        <v>0.035</v>
      </c>
      <c r="F38" s="6">
        <v>0</v>
      </c>
      <c r="G38" s="6">
        <v>0</v>
      </c>
      <c r="H38" s="6">
        <v>0.065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8">
        <f t="shared" si="1"/>
        <v>99</v>
      </c>
      <c r="U38" s="7">
        <v>25</v>
      </c>
      <c r="V38" s="6">
        <v>25</v>
      </c>
      <c r="W38" s="6">
        <v>0</v>
      </c>
      <c r="X38" s="6" t="s">
        <v>34</v>
      </c>
      <c r="Y38" s="6" t="s">
        <v>35</v>
      </c>
      <c r="Z38" s="6" t="s">
        <v>55</v>
      </c>
      <c r="AA38" s="6" t="s">
        <v>37</v>
      </c>
      <c r="AB38" s="6" t="s">
        <v>37</v>
      </c>
      <c r="AC38" s="6" t="s">
        <v>45</v>
      </c>
      <c r="AD38" s="26" t="s">
        <v>56</v>
      </c>
      <c r="AE38" s="7">
        <v>130</v>
      </c>
      <c r="AF38" s="6" t="s">
        <v>40</v>
      </c>
      <c r="AG38" s="10" t="s">
        <v>40</v>
      </c>
      <c r="AH38" s="31" t="s">
        <v>54</v>
      </c>
    </row>
    <row r="39" ht="13.9" spans="1:34">
      <c r="A39" s="6">
        <v>1100</v>
      </c>
      <c r="B39" s="7">
        <v>0.35</v>
      </c>
      <c r="C39" s="6">
        <v>0.35</v>
      </c>
      <c r="D39" s="6">
        <v>0.2</v>
      </c>
      <c r="E39" s="6">
        <v>0.035</v>
      </c>
      <c r="F39" s="6">
        <v>0</v>
      </c>
      <c r="G39" s="6">
        <v>0</v>
      </c>
      <c r="H39" s="6">
        <v>0.065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8">
        <f t="shared" si="1"/>
        <v>99</v>
      </c>
      <c r="U39" s="7">
        <v>25</v>
      </c>
      <c r="V39" s="6">
        <v>25</v>
      </c>
      <c r="W39" s="6">
        <v>0</v>
      </c>
      <c r="X39" s="6" t="s">
        <v>34</v>
      </c>
      <c r="Y39" s="6" t="s">
        <v>35</v>
      </c>
      <c r="Z39" s="6" t="s">
        <v>46</v>
      </c>
      <c r="AA39" s="6" t="s">
        <v>37</v>
      </c>
      <c r="AB39" s="6" t="s">
        <v>37</v>
      </c>
      <c r="AC39" s="6" t="s">
        <v>45</v>
      </c>
      <c r="AD39" s="26" t="s">
        <v>47</v>
      </c>
      <c r="AE39" s="7">
        <v>110</v>
      </c>
      <c r="AF39" s="6" t="s">
        <v>40</v>
      </c>
      <c r="AG39" s="10" t="s">
        <v>40</v>
      </c>
      <c r="AH39" s="31" t="s">
        <v>54</v>
      </c>
    </row>
    <row r="40" ht="13.9" spans="1:34">
      <c r="A40" s="6">
        <v>1100</v>
      </c>
      <c r="B40" s="7">
        <v>0.35</v>
      </c>
      <c r="C40" s="6">
        <v>0.35</v>
      </c>
      <c r="D40" s="6">
        <v>0.2</v>
      </c>
      <c r="E40" s="6">
        <v>0.035</v>
      </c>
      <c r="F40" s="6">
        <v>0</v>
      </c>
      <c r="G40" s="6">
        <v>0</v>
      </c>
      <c r="H40" s="6">
        <v>0.065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8">
        <f t="shared" si="1"/>
        <v>99</v>
      </c>
      <c r="U40" s="7">
        <v>25</v>
      </c>
      <c r="V40" s="6">
        <v>25</v>
      </c>
      <c r="W40" s="6">
        <v>0</v>
      </c>
      <c r="X40" s="6" t="s">
        <v>34</v>
      </c>
      <c r="Y40" s="6" t="s">
        <v>35</v>
      </c>
      <c r="Z40" s="6" t="s">
        <v>65</v>
      </c>
      <c r="AA40" s="6" t="s">
        <v>37</v>
      </c>
      <c r="AB40" s="6" t="s">
        <v>37</v>
      </c>
      <c r="AC40" s="6" t="s">
        <v>45</v>
      </c>
      <c r="AD40" s="26" t="s">
        <v>66</v>
      </c>
      <c r="AE40" s="7">
        <v>95</v>
      </c>
      <c r="AF40" s="6" t="s">
        <v>40</v>
      </c>
      <c r="AG40" s="10" t="s">
        <v>40</v>
      </c>
      <c r="AH40" s="31" t="s">
        <v>54</v>
      </c>
    </row>
    <row r="41" ht="13.9" spans="1:34">
      <c r="A41" s="6">
        <v>1100</v>
      </c>
      <c r="B41" s="7">
        <v>0.35</v>
      </c>
      <c r="C41" s="6">
        <v>0.35</v>
      </c>
      <c r="D41" s="6">
        <v>0.2</v>
      </c>
      <c r="E41" s="6">
        <v>0.035</v>
      </c>
      <c r="F41" s="6">
        <v>0</v>
      </c>
      <c r="G41" s="6">
        <v>0</v>
      </c>
      <c r="H41" s="6">
        <v>0.065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8">
        <f t="shared" si="1"/>
        <v>99</v>
      </c>
      <c r="U41" s="7">
        <v>25</v>
      </c>
      <c r="V41" s="6">
        <v>25</v>
      </c>
      <c r="W41" s="6">
        <v>0</v>
      </c>
      <c r="X41" s="6" t="s">
        <v>53</v>
      </c>
      <c r="Y41" s="6" t="s">
        <v>35</v>
      </c>
      <c r="Z41" s="6" t="s">
        <v>36</v>
      </c>
      <c r="AA41" s="6" t="s">
        <v>37</v>
      </c>
      <c r="AB41" s="6" t="s">
        <v>37</v>
      </c>
      <c r="AC41" s="6" t="s">
        <v>53</v>
      </c>
      <c r="AD41" s="26" t="s">
        <v>39</v>
      </c>
      <c r="AE41" s="7">
        <v>150</v>
      </c>
      <c r="AF41" s="6">
        <v>165</v>
      </c>
      <c r="AG41" s="10">
        <v>15</v>
      </c>
      <c r="AH41" s="31" t="s">
        <v>54</v>
      </c>
    </row>
    <row r="42" ht="13.9" spans="1:34">
      <c r="A42" s="6">
        <v>1100</v>
      </c>
      <c r="B42" s="7">
        <v>0.35</v>
      </c>
      <c r="C42" s="6">
        <v>0.35</v>
      </c>
      <c r="D42" s="6">
        <v>0.2</v>
      </c>
      <c r="E42" s="6">
        <v>0.035</v>
      </c>
      <c r="F42" s="6">
        <v>0</v>
      </c>
      <c r="G42" s="6">
        <v>0</v>
      </c>
      <c r="H42" s="6">
        <v>0.065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8">
        <f t="shared" si="1"/>
        <v>99</v>
      </c>
      <c r="U42" s="7">
        <v>25</v>
      </c>
      <c r="V42" s="6">
        <v>25</v>
      </c>
      <c r="W42" s="6">
        <v>0</v>
      </c>
      <c r="X42" s="6" t="s">
        <v>42</v>
      </c>
      <c r="Y42" s="6" t="s">
        <v>35</v>
      </c>
      <c r="Z42" s="6" t="s">
        <v>36</v>
      </c>
      <c r="AA42" s="6" t="s">
        <v>37</v>
      </c>
      <c r="AB42" s="6" t="s">
        <v>37</v>
      </c>
      <c r="AC42" s="6" t="s">
        <v>59</v>
      </c>
      <c r="AD42" s="26" t="s">
        <v>39</v>
      </c>
      <c r="AE42" s="7">
        <v>152</v>
      </c>
      <c r="AF42" s="6">
        <v>158</v>
      </c>
      <c r="AG42" s="34" t="s">
        <v>40</v>
      </c>
      <c r="AH42" s="31" t="s">
        <v>54</v>
      </c>
    </row>
    <row r="43" ht="13.9" spans="1:34">
      <c r="A43" s="6">
        <v>1100</v>
      </c>
      <c r="B43" s="7">
        <v>0.35</v>
      </c>
      <c r="C43" s="6">
        <v>0.35</v>
      </c>
      <c r="D43" s="6">
        <v>0.2</v>
      </c>
      <c r="E43" s="6">
        <v>0.035</v>
      </c>
      <c r="F43" s="6">
        <v>0</v>
      </c>
      <c r="G43" s="6">
        <v>0</v>
      </c>
      <c r="H43" s="6">
        <v>0.065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8">
        <f t="shared" si="1"/>
        <v>99</v>
      </c>
      <c r="U43" s="7">
        <v>25</v>
      </c>
      <c r="V43" s="6">
        <v>25</v>
      </c>
      <c r="W43" s="6">
        <v>0</v>
      </c>
      <c r="X43" s="6" t="s">
        <v>42</v>
      </c>
      <c r="Y43" s="6" t="s">
        <v>35</v>
      </c>
      <c r="Z43" s="6" t="s">
        <v>36</v>
      </c>
      <c r="AA43" s="6" t="s">
        <v>37</v>
      </c>
      <c r="AB43" s="6" t="s">
        <v>37</v>
      </c>
      <c r="AC43" s="6" t="s">
        <v>43</v>
      </c>
      <c r="AD43" s="26" t="s">
        <v>39</v>
      </c>
      <c r="AE43" s="7">
        <v>152</v>
      </c>
      <c r="AF43" s="6">
        <v>158</v>
      </c>
      <c r="AG43" s="34">
        <v>4</v>
      </c>
      <c r="AH43" s="31" t="s">
        <v>54</v>
      </c>
    </row>
    <row r="44" ht="13.9" spans="1:34">
      <c r="A44" s="6">
        <v>1100</v>
      </c>
      <c r="B44" s="7">
        <v>0.35</v>
      </c>
      <c r="C44" s="6">
        <v>0.35</v>
      </c>
      <c r="D44" s="6">
        <v>0.2</v>
      </c>
      <c r="E44" s="6">
        <v>0.035</v>
      </c>
      <c r="F44" s="6">
        <v>0</v>
      </c>
      <c r="G44" s="6">
        <v>0</v>
      </c>
      <c r="H44" s="6">
        <v>0.065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8">
        <f t="shared" si="1"/>
        <v>99</v>
      </c>
      <c r="U44" s="7">
        <v>25</v>
      </c>
      <c r="V44" s="6">
        <v>25</v>
      </c>
      <c r="W44" s="6">
        <v>0</v>
      </c>
      <c r="X44" s="6" t="s">
        <v>42</v>
      </c>
      <c r="Y44" s="6" t="s">
        <v>35</v>
      </c>
      <c r="Z44" s="6" t="s">
        <v>36</v>
      </c>
      <c r="AA44" s="6" t="s">
        <v>37</v>
      </c>
      <c r="AB44" s="6" t="s">
        <v>37</v>
      </c>
      <c r="AC44" s="6" t="s">
        <v>51</v>
      </c>
      <c r="AD44" s="26" t="s">
        <v>39</v>
      </c>
      <c r="AE44" s="7" t="s">
        <v>40</v>
      </c>
      <c r="AF44" s="6">
        <v>150</v>
      </c>
      <c r="AG44" s="34" t="s">
        <v>40</v>
      </c>
      <c r="AH44" s="31" t="s">
        <v>54</v>
      </c>
    </row>
    <row r="45" ht="13.9" spans="1:34">
      <c r="A45" s="6">
        <v>1100</v>
      </c>
      <c r="B45" s="7">
        <v>0.35</v>
      </c>
      <c r="C45" s="6">
        <v>0.35</v>
      </c>
      <c r="D45" s="6">
        <v>0.2</v>
      </c>
      <c r="E45" s="6">
        <v>0.035</v>
      </c>
      <c r="F45" s="6">
        <v>0</v>
      </c>
      <c r="G45" s="6">
        <v>0</v>
      </c>
      <c r="H45" s="6">
        <v>0.065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8">
        <f t="shared" si="1"/>
        <v>99</v>
      </c>
      <c r="U45" s="7">
        <v>25</v>
      </c>
      <c r="V45" s="6">
        <v>25</v>
      </c>
      <c r="W45" s="6">
        <v>0</v>
      </c>
      <c r="X45" s="6" t="s">
        <v>42</v>
      </c>
      <c r="Y45" s="6" t="s">
        <v>35</v>
      </c>
      <c r="Z45" s="6" t="s">
        <v>36</v>
      </c>
      <c r="AA45" s="6" t="s">
        <v>37</v>
      </c>
      <c r="AB45" s="6" t="s">
        <v>37</v>
      </c>
      <c r="AC45" s="6" t="s">
        <v>69</v>
      </c>
      <c r="AD45" s="26" t="s">
        <v>39</v>
      </c>
      <c r="AE45" s="7" t="s">
        <v>40</v>
      </c>
      <c r="AF45" s="6">
        <v>150</v>
      </c>
      <c r="AG45" s="34" t="s">
        <v>40</v>
      </c>
      <c r="AH45" s="31" t="s">
        <v>54</v>
      </c>
    </row>
    <row r="46" ht="13.9" spans="1:34">
      <c r="A46" s="6">
        <v>1100</v>
      </c>
      <c r="B46" s="7">
        <v>0.35</v>
      </c>
      <c r="C46" s="6">
        <v>0.35</v>
      </c>
      <c r="D46" s="6">
        <v>0.2</v>
      </c>
      <c r="E46" s="6">
        <v>0.035</v>
      </c>
      <c r="F46" s="6">
        <v>0</v>
      </c>
      <c r="G46" s="6">
        <v>0</v>
      </c>
      <c r="H46" s="6">
        <v>0.065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8">
        <f t="shared" si="1"/>
        <v>99</v>
      </c>
      <c r="U46" s="7">
        <v>25</v>
      </c>
      <c r="V46" s="6">
        <v>25</v>
      </c>
      <c r="W46" s="6">
        <v>0</v>
      </c>
      <c r="X46" s="6" t="s">
        <v>42</v>
      </c>
      <c r="Y46" s="6" t="s">
        <v>35</v>
      </c>
      <c r="Z46" s="6" t="s">
        <v>36</v>
      </c>
      <c r="AA46" s="6" t="s">
        <v>37</v>
      </c>
      <c r="AB46" s="6" t="s">
        <v>37</v>
      </c>
      <c r="AC46" s="6" t="s">
        <v>38</v>
      </c>
      <c r="AD46" s="26" t="s">
        <v>39</v>
      </c>
      <c r="AE46" s="7" t="s">
        <v>40</v>
      </c>
      <c r="AF46" s="6">
        <v>150</v>
      </c>
      <c r="AG46" s="34" t="s">
        <v>40</v>
      </c>
      <c r="AH46" s="31" t="s">
        <v>54</v>
      </c>
    </row>
    <row r="47" ht="13.9" spans="1:34">
      <c r="A47" s="6">
        <v>1100</v>
      </c>
      <c r="B47" s="7">
        <v>0.35</v>
      </c>
      <c r="C47" s="6">
        <v>0.35</v>
      </c>
      <c r="D47" s="6">
        <v>0.2</v>
      </c>
      <c r="E47" s="6">
        <v>0.035</v>
      </c>
      <c r="F47" s="6">
        <v>0</v>
      </c>
      <c r="G47" s="6">
        <v>0</v>
      </c>
      <c r="H47" s="6">
        <v>0.065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8">
        <f t="shared" si="1"/>
        <v>99</v>
      </c>
      <c r="U47" s="7">
        <v>25</v>
      </c>
      <c r="V47" s="6">
        <v>25</v>
      </c>
      <c r="W47" s="6">
        <v>0</v>
      </c>
      <c r="X47" s="6" t="s">
        <v>42</v>
      </c>
      <c r="Y47" s="6" t="s">
        <v>35</v>
      </c>
      <c r="Z47" s="6" t="s">
        <v>55</v>
      </c>
      <c r="AA47" s="6" t="s">
        <v>37</v>
      </c>
      <c r="AB47" s="6" t="s">
        <v>37</v>
      </c>
      <c r="AC47" s="6" t="s">
        <v>59</v>
      </c>
      <c r="AD47" s="26" t="s">
        <v>56</v>
      </c>
      <c r="AE47" s="7">
        <v>127</v>
      </c>
      <c r="AF47" s="6">
        <v>143</v>
      </c>
      <c r="AG47" s="34" t="s">
        <v>40</v>
      </c>
      <c r="AH47" s="31" t="s">
        <v>54</v>
      </c>
    </row>
    <row r="48" ht="13.9" spans="1:34">
      <c r="A48" s="6">
        <v>1100</v>
      </c>
      <c r="B48" s="7">
        <v>0.35</v>
      </c>
      <c r="C48" s="6">
        <v>0.35</v>
      </c>
      <c r="D48" s="6">
        <v>0.2</v>
      </c>
      <c r="E48" s="6">
        <v>0.035</v>
      </c>
      <c r="F48" s="6">
        <v>0</v>
      </c>
      <c r="G48" s="6">
        <v>0</v>
      </c>
      <c r="H48" s="6">
        <v>0.065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8">
        <f t="shared" si="1"/>
        <v>99</v>
      </c>
      <c r="U48" s="7">
        <v>25</v>
      </c>
      <c r="V48" s="6">
        <v>25</v>
      </c>
      <c r="W48" s="6">
        <v>0</v>
      </c>
      <c r="X48" s="6" t="s">
        <v>42</v>
      </c>
      <c r="Y48" s="6" t="s">
        <v>35</v>
      </c>
      <c r="Z48" s="6" t="s">
        <v>55</v>
      </c>
      <c r="AA48" s="6" t="s">
        <v>37</v>
      </c>
      <c r="AB48" s="6" t="s">
        <v>37</v>
      </c>
      <c r="AC48" s="6" t="s">
        <v>43</v>
      </c>
      <c r="AD48" s="26" t="s">
        <v>56</v>
      </c>
      <c r="AE48" s="7">
        <v>127</v>
      </c>
      <c r="AF48" s="6">
        <v>143</v>
      </c>
      <c r="AG48" s="34" t="s">
        <v>40</v>
      </c>
      <c r="AH48" s="31" t="s">
        <v>54</v>
      </c>
    </row>
    <row r="49" ht="13.9" spans="1:34">
      <c r="A49" s="6">
        <v>1100</v>
      </c>
      <c r="B49" s="7">
        <v>0.35</v>
      </c>
      <c r="C49" s="6">
        <v>0.35</v>
      </c>
      <c r="D49" s="6">
        <v>0.2</v>
      </c>
      <c r="E49" s="6">
        <v>0.035</v>
      </c>
      <c r="F49" s="6">
        <v>0</v>
      </c>
      <c r="G49" s="6">
        <v>0</v>
      </c>
      <c r="H49" s="6">
        <v>0.065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8">
        <f t="shared" si="1"/>
        <v>99</v>
      </c>
      <c r="U49" s="7">
        <v>25</v>
      </c>
      <c r="V49" s="6">
        <v>25</v>
      </c>
      <c r="W49" s="6">
        <v>0</v>
      </c>
      <c r="X49" s="6" t="s">
        <v>42</v>
      </c>
      <c r="Y49" s="6" t="s">
        <v>35</v>
      </c>
      <c r="Z49" s="6" t="s">
        <v>55</v>
      </c>
      <c r="AA49" s="6" t="s">
        <v>37</v>
      </c>
      <c r="AB49" s="6" t="s">
        <v>37</v>
      </c>
      <c r="AC49" s="6" t="s">
        <v>51</v>
      </c>
      <c r="AD49" s="26" t="s">
        <v>56</v>
      </c>
      <c r="AE49" s="7" t="s">
        <v>40</v>
      </c>
      <c r="AF49" s="6">
        <v>130</v>
      </c>
      <c r="AG49" s="34" t="s">
        <v>40</v>
      </c>
      <c r="AH49" s="31" t="s">
        <v>54</v>
      </c>
    </row>
    <row r="50" ht="13.9" spans="1:34">
      <c r="A50" s="6">
        <v>1100</v>
      </c>
      <c r="B50" s="7">
        <v>0.35</v>
      </c>
      <c r="C50" s="6">
        <v>0.35</v>
      </c>
      <c r="D50" s="6">
        <v>0.2</v>
      </c>
      <c r="E50" s="6">
        <v>0.035</v>
      </c>
      <c r="F50" s="6">
        <v>0</v>
      </c>
      <c r="G50" s="6">
        <v>0</v>
      </c>
      <c r="H50" s="6">
        <v>0.065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8">
        <f t="shared" si="1"/>
        <v>99</v>
      </c>
      <c r="U50" s="7">
        <v>25</v>
      </c>
      <c r="V50" s="6">
        <v>25</v>
      </c>
      <c r="W50" s="6">
        <v>0</v>
      </c>
      <c r="X50" s="6" t="s">
        <v>42</v>
      </c>
      <c r="Y50" s="6" t="s">
        <v>35</v>
      </c>
      <c r="Z50" s="6" t="s">
        <v>55</v>
      </c>
      <c r="AA50" s="6" t="s">
        <v>37</v>
      </c>
      <c r="AB50" s="6" t="s">
        <v>37</v>
      </c>
      <c r="AC50" s="6" t="s">
        <v>69</v>
      </c>
      <c r="AD50" s="26" t="s">
        <v>56</v>
      </c>
      <c r="AE50" s="7" t="s">
        <v>40</v>
      </c>
      <c r="AF50" s="6">
        <v>130</v>
      </c>
      <c r="AG50" s="34" t="s">
        <v>40</v>
      </c>
      <c r="AH50" s="31" t="s">
        <v>54</v>
      </c>
    </row>
    <row r="51" ht="13.9" spans="1:34">
      <c r="A51" s="6">
        <v>1100</v>
      </c>
      <c r="B51" s="7">
        <v>0.35</v>
      </c>
      <c r="C51" s="6">
        <v>0.35</v>
      </c>
      <c r="D51" s="6">
        <v>0.2</v>
      </c>
      <c r="E51" s="6">
        <v>0.035</v>
      </c>
      <c r="F51" s="6">
        <v>0</v>
      </c>
      <c r="G51" s="6">
        <v>0</v>
      </c>
      <c r="H51" s="6">
        <v>0.065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8">
        <f t="shared" si="1"/>
        <v>99</v>
      </c>
      <c r="U51" s="7">
        <v>25</v>
      </c>
      <c r="V51" s="6">
        <v>25</v>
      </c>
      <c r="W51" s="6">
        <v>0</v>
      </c>
      <c r="X51" s="6" t="s">
        <v>42</v>
      </c>
      <c r="Y51" s="6" t="s">
        <v>35</v>
      </c>
      <c r="Z51" s="6" t="s">
        <v>55</v>
      </c>
      <c r="AA51" s="6" t="s">
        <v>37</v>
      </c>
      <c r="AB51" s="6" t="s">
        <v>37</v>
      </c>
      <c r="AC51" s="6" t="s">
        <v>38</v>
      </c>
      <c r="AD51" s="26" t="s">
        <v>56</v>
      </c>
      <c r="AE51" s="7" t="s">
        <v>40</v>
      </c>
      <c r="AF51" s="6">
        <v>130</v>
      </c>
      <c r="AG51" s="34" t="s">
        <v>40</v>
      </c>
      <c r="AH51" s="31" t="s">
        <v>54</v>
      </c>
    </row>
    <row r="52" ht="13.9" spans="1:34">
      <c r="A52" s="6">
        <v>1100</v>
      </c>
      <c r="B52" s="7">
        <v>0.35</v>
      </c>
      <c r="C52" s="6">
        <v>0.35</v>
      </c>
      <c r="D52" s="6">
        <v>0.2</v>
      </c>
      <c r="E52" s="6">
        <v>0.035</v>
      </c>
      <c r="F52" s="6">
        <v>0</v>
      </c>
      <c r="G52" s="6">
        <v>0</v>
      </c>
      <c r="H52" s="6">
        <v>0.065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8">
        <f t="shared" si="1"/>
        <v>99</v>
      </c>
      <c r="U52" s="7">
        <v>25</v>
      </c>
      <c r="V52" s="6">
        <v>25</v>
      </c>
      <c r="W52" s="6">
        <v>0</v>
      </c>
      <c r="X52" s="6" t="s">
        <v>34</v>
      </c>
      <c r="Y52" s="6" t="s">
        <v>35</v>
      </c>
      <c r="Z52" s="6" t="s">
        <v>46</v>
      </c>
      <c r="AA52" s="6" t="s">
        <v>37</v>
      </c>
      <c r="AB52" s="6" t="s">
        <v>37</v>
      </c>
      <c r="AC52" s="6" t="s">
        <v>69</v>
      </c>
      <c r="AD52" s="26" t="s">
        <v>47</v>
      </c>
      <c r="AE52" s="7" t="s">
        <v>40</v>
      </c>
      <c r="AF52" s="6">
        <v>127.5</v>
      </c>
      <c r="AG52" s="10" t="s">
        <v>40</v>
      </c>
      <c r="AH52" s="31" t="s">
        <v>54</v>
      </c>
    </row>
    <row r="53" ht="13.9" spans="1:34">
      <c r="A53" s="6">
        <v>1100</v>
      </c>
      <c r="B53" s="7">
        <v>0.35</v>
      </c>
      <c r="C53" s="6">
        <v>0.35</v>
      </c>
      <c r="D53" s="6">
        <v>0.2</v>
      </c>
      <c r="E53" s="6">
        <v>0.035</v>
      </c>
      <c r="F53" s="6">
        <v>0</v>
      </c>
      <c r="G53" s="6">
        <v>0</v>
      </c>
      <c r="H53" s="6">
        <v>0.065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8">
        <v>99</v>
      </c>
      <c r="U53" s="7">
        <v>25</v>
      </c>
      <c r="V53" s="6">
        <v>25</v>
      </c>
      <c r="W53" s="6">
        <v>0</v>
      </c>
      <c r="X53" s="6" t="s">
        <v>34</v>
      </c>
      <c r="Y53" s="6" t="s">
        <v>35</v>
      </c>
      <c r="Z53" s="6" t="s">
        <v>46</v>
      </c>
      <c r="AA53" s="6" t="s">
        <v>37</v>
      </c>
      <c r="AB53" s="6" t="s">
        <v>37</v>
      </c>
      <c r="AC53" s="6" t="s">
        <v>38</v>
      </c>
      <c r="AD53" s="26" t="s">
        <v>47</v>
      </c>
      <c r="AE53" s="7" t="s">
        <v>40</v>
      </c>
      <c r="AF53" s="6">
        <v>127.5</v>
      </c>
      <c r="AG53" s="10" t="s">
        <v>40</v>
      </c>
      <c r="AH53" s="31" t="s">
        <v>54</v>
      </c>
    </row>
    <row r="54" ht="13.9" spans="1:34">
      <c r="A54" s="6">
        <v>1100</v>
      </c>
      <c r="B54" s="7">
        <v>0.35</v>
      </c>
      <c r="C54" s="6">
        <v>0.35</v>
      </c>
      <c r="D54" s="6">
        <v>0.2</v>
      </c>
      <c r="E54" s="6">
        <v>0.035</v>
      </c>
      <c r="F54" s="6">
        <v>0</v>
      </c>
      <c r="G54" s="6">
        <v>0</v>
      </c>
      <c r="H54" s="6">
        <v>0.065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8">
        <f t="shared" ref="T54:T63" si="2">100-SUM(B54:S54)</f>
        <v>99</v>
      </c>
      <c r="U54" s="7">
        <v>25</v>
      </c>
      <c r="V54" s="6">
        <v>25</v>
      </c>
      <c r="W54" s="6">
        <v>0</v>
      </c>
      <c r="X54" s="6" t="s">
        <v>42</v>
      </c>
      <c r="Y54" s="6" t="s">
        <v>35</v>
      </c>
      <c r="Z54" s="6" t="s">
        <v>46</v>
      </c>
      <c r="AA54" s="6" t="s">
        <v>37</v>
      </c>
      <c r="AB54" s="6" t="s">
        <v>37</v>
      </c>
      <c r="AC54" s="6" t="s">
        <v>59</v>
      </c>
      <c r="AD54" s="26" t="s">
        <v>47</v>
      </c>
      <c r="AE54" s="7">
        <v>106</v>
      </c>
      <c r="AF54" s="6">
        <v>126</v>
      </c>
      <c r="AG54" s="34" t="s">
        <v>40</v>
      </c>
      <c r="AH54" s="31" t="s">
        <v>54</v>
      </c>
    </row>
    <row r="55" ht="13.9" spans="1:34">
      <c r="A55" s="6">
        <v>1100</v>
      </c>
      <c r="B55" s="7">
        <v>0.35</v>
      </c>
      <c r="C55" s="6">
        <v>0.35</v>
      </c>
      <c r="D55" s="6">
        <v>0.2</v>
      </c>
      <c r="E55" s="6">
        <v>0.035</v>
      </c>
      <c r="F55" s="6">
        <v>0</v>
      </c>
      <c r="G55" s="6">
        <v>0</v>
      </c>
      <c r="H55" s="6">
        <v>0.065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8">
        <f t="shared" si="2"/>
        <v>99</v>
      </c>
      <c r="U55" s="7">
        <v>25</v>
      </c>
      <c r="V55" s="6">
        <v>25</v>
      </c>
      <c r="W55" s="6">
        <v>0</v>
      </c>
      <c r="X55" s="6" t="s">
        <v>42</v>
      </c>
      <c r="Y55" s="6" t="s">
        <v>35</v>
      </c>
      <c r="Z55" s="6" t="s">
        <v>46</v>
      </c>
      <c r="AA55" s="6" t="s">
        <v>37</v>
      </c>
      <c r="AB55" s="6" t="s">
        <v>37</v>
      </c>
      <c r="AC55" s="6" t="s">
        <v>43</v>
      </c>
      <c r="AD55" s="26" t="s">
        <v>47</v>
      </c>
      <c r="AE55" s="7">
        <v>106</v>
      </c>
      <c r="AF55" s="6">
        <v>126</v>
      </c>
      <c r="AG55" s="34" t="s">
        <v>40</v>
      </c>
      <c r="AH55" s="31" t="s">
        <v>54</v>
      </c>
    </row>
    <row r="56" ht="13.9" spans="1:34">
      <c r="A56" s="6">
        <v>1100</v>
      </c>
      <c r="B56" s="7">
        <v>0.35</v>
      </c>
      <c r="C56" s="6">
        <v>0.35</v>
      </c>
      <c r="D56" s="6">
        <v>0.2</v>
      </c>
      <c r="E56" s="6">
        <v>0.035</v>
      </c>
      <c r="F56" s="6">
        <v>0</v>
      </c>
      <c r="G56" s="6">
        <v>0</v>
      </c>
      <c r="H56" s="6">
        <v>0.065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8">
        <f t="shared" si="2"/>
        <v>99</v>
      </c>
      <c r="U56" s="7">
        <v>25</v>
      </c>
      <c r="V56" s="6">
        <v>25</v>
      </c>
      <c r="W56" s="6">
        <v>0</v>
      </c>
      <c r="X56" s="6" t="s">
        <v>42</v>
      </c>
      <c r="Y56" s="6" t="s">
        <v>35</v>
      </c>
      <c r="Z56" s="6" t="s">
        <v>65</v>
      </c>
      <c r="AA56" s="6" t="s">
        <v>37</v>
      </c>
      <c r="AB56" s="6" t="s">
        <v>37</v>
      </c>
      <c r="AC56" s="6" t="s">
        <v>59</v>
      </c>
      <c r="AD56" s="26" t="s">
        <v>66</v>
      </c>
      <c r="AE56" s="7">
        <v>89</v>
      </c>
      <c r="AF56" s="6">
        <v>111</v>
      </c>
      <c r="AG56" s="34" t="s">
        <v>40</v>
      </c>
      <c r="AH56" s="31" t="s">
        <v>54</v>
      </c>
    </row>
    <row r="57" ht="13.9" spans="1:34">
      <c r="A57" s="6">
        <v>1100</v>
      </c>
      <c r="B57" s="7">
        <v>0.35</v>
      </c>
      <c r="C57" s="6">
        <v>0.35</v>
      </c>
      <c r="D57" s="6">
        <v>0.2</v>
      </c>
      <c r="E57" s="6">
        <v>0.035</v>
      </c>
      <c r="F57" s="6">
        <v>0</v>
      </c>
      <c r="G57" s="6">
        <v>0</v>
      </c>
      <c r="H57" s="6">
        <v>0.065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8">
        <f t="shared" si="2"/>
        <v>99</v>
      </c>
      <c r="U57" s="7">
        <v>25</v>
      </c>
      <c r="V57" s="6">
        <v>25</v>
      </c>
      <c r="W57" s="6">
        <v>0</v>
      </c>
      <c r="X57" s="6" t="s">
        <v>42</v>
      </c>
      <c r="Y57" s="6" t="s">
        <v>35</v>
      </c>
      <c r="Z57" s="6" t="s">
        <v>65</v>
      </c>
      <c r="AA57" s="6" t="s">
        <v>37</v>
      </c>
      <c r="AB57" s="6" t="s">
        <v>37</v>
      </c>
      <c r="AC57" s="6" t="s">
        <v>43</v>
      </c>
      <c r="AD57" s="26" t="s">
        <v>66</v>
      </c>
      <c r="AE57" s="7">
        <v>89</v>
      </c>
      <c r="AF57" s="6">
        <v>111</v>
      </c>
      <c r="AG57" s="34" t="s">
        <v>40</v>
      </c>
      <c r="AH57" s="31" t="s">
        <v>54</v>
      </c>
    </row>
    <row r="58" ht="13.9" spans="1:34">
      <c r="A58" s="6">
        <v>1100</v>
      </c>
      <c r="B58" s="7">
        <v>0.35</v>
      </c>
      <c r="C58" s="6">
        <v>0.35</v>
      </c>
      <c r="D58" s="6">
        <v>0.2</v>
      </c>
      <c r="E58" s="6">
        <v>0.035</v>
      </c>
      <c r="F58" s="6">
        <v>0</v>
      </c>
      <c r="G58" s="6">
        <v>0</v>
      </c>
      <c r="H58" s="6">
        <v>0.065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8">
        <f t="shared" si="2"/>
        <v>99</v>
      </c>
      <c r="U58" s="7">
        <v>25</v>
      </c>
      <c r="V58" s="6">
        <v>25</v>
      </c>
      <c r="W58" s="6">
        <v>0</v>
      </c>
      <c r="X58" s="6" t="s">
        <v>42</v>
      </c>
      <c r="Y58" s="6" t="s">
        <v>35</v>
      </c>
      <c r="Z58" s="6" t="s">
        <v>46</v>
      </c>
      <c r="AA58" s="6" t="s">
        <v>37</v>
      </c>
      <c r="AB58" s="6" t="s">
        <v>37</v>
      </c>
      <c r="AC58" s="6" t="s">
        <v>51</v>
      </c>
      <c r="AD58" s="26" t="s">
        <v>47</v>
      </c>
      <c r="AE58" s="7" t="s">
        <v>40</v>
      </c>
      <c r="AF58" s="6">
        <v>110</v>
      </c>
      <c r="AG58" s="34" t="s">
        <v>40</v>
      </c>
      <c r="AH58" s="31" t="s">
        <v>54</v>
      </c>
    </row>
    <row r="59" ht="13.9" spans="1:34">
      <c r="A59" s="6">
        <v>1100</v>
      </c>
      <c r="B59" s="7">
        <v>0.35</v>
      </c>
      <c r="C59" s="6">
        <v>0.35</v>
      </c>
      <c r="D59" s="6">
        <v>0.2</v>
      </c>
      <c r="E59" s="6">
        <v>0.035</v>
      </c>
      <c r="F59" s="6">
        <v>0</v>
      </c>
      <c r="G59" s="6">
        <v>0</v>
      </c>
      <c r="H59" s="6">
        <v>0.065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8">
        <f t="shared" si="2"/>
        <v>99</v>
      </c>
      <c r="U59" s="7">
        <v>25</v>
      </c>
      <c r="V59" s="6">
        <v>25</v>
      </c>
      <c r="W59" s="6">
        <v>0</v>
      </c>
      <c r="X59" s="6" t="s">
        <v>53</v>
      </c>
      <c r="Y59" s="6" t="s">
        <v>35</v>
      </c>
      <c r="Z59" s="6" t="s">
        <v>46</v>
      </c>
      <c r="AA59" s="6" t="s">
        <v>37</v>
      </c>
      <c r="AB59" s="6" t="s">
        <v>37</v>
      </c>
      <c r="AC59" s="6" t="s">
        <v>53</v>
      </c>
      <c r="AD59" s="26" t="s">
        <v>47</v>
      </c>
      <c r="AE59" s="7">
        <v>105</v>
      </c>
      <c r="AF59" s="6">
        <v>110</v>
      </c>
      <c r="AG59" s="34">
        <v>20</v>
      </c>
      <c r="AH59" s="31" t="s">
        <v>54</v>
      </c>
    </row>
    <row r="60" ht="13.9" spans="1:34">
      <c r="A60" s="6">
        <v>1100</v>
      </c>
      <c r="B60" s="7">
        <v>0.35</v>
      </c>
      <c r="C60" s="6">
        <v>0.35</v>
      </c>
      <c r="D60" s="6">
        <v>0.2</v>
      </c>
      <c r="E60" s="6">
        <v>0.035</v>
      </c>
      <c r="F60" s="6">
        <v>0</v>
      </c>
      <c r="G60" s="6">
        <v>0</v>
      </c>
      <c r="H60" s="6">
        <v>0.065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8">
        <f t="shared" si="2"/>
        <v>99</v>
      </c>
      <c r="U60" s="7">
        <v>25</v>
      </c>
      <c r="V60" s="6">
        <v>25</v>
      </c>
      <c r="W60" s="6">
        <v>0</v>
      </c>
      <c r="X60" s="6" t="s">
        <v>42</v>
      </c>
      <c r="Y60" s="6" t="s">
        <v>35</v>
      </c>
      <c r="Z60" s="6" t="s">
        <v>46</v>
      </c>
      <c r="AA60" s="6" t="s">
        <v>37</v>
      </c>
      <c r="AB60" s="6" t="s">
        <v>37</v>
      </c>
      <c r="AC60" s="6" t="s">
        <v>69</v>
      </c>
      <c r="AD60" s="26" t="s">
        <v>47</v>
      </c>
      <c r="AE60" s="7" t="s">
        <v>40</v>
      </c>
      <c r="AF60" s="6">
        <v>110</v>
      </c>
      <c r="AG60" s="34" t="s">
        <v>40</v>
      </c>
      <c r="AH60" s="31" t="s">
        <v>54</v>
      </c>
    </row>
    <row r="61" ht="13.9" spans="1:34">
      <c r="A61" s="6">
        <v>1100</v>
      </c>
      <c r="B61" s="7">
        <v>0.35</v>
      </c>
      <c r="C61" s="6">
        <v>0.35</v>
      </c>
      <c r="D61" s="6">
        <v>0.2</v>
      </c>
      <c r="E61" s="6">
        <v>0.035</v>
      </c>
      <c r="F61" s="6">
        <v>0</v>
      </c>
      <c r="G61" s="6">
        <v>0</v>
      </c>
      <c r="H61" s="6">
        <v>0.065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8">
        <f t="shared" si="2"/>
        <v>99</v>
      </c>
      <c r="U61" s="7">
        <v>25</v>
      </c>
      <c r="V61" s="6">
        <v>25</v>
      </c>
      <c r="W61" s="6">
        <v>0</v>
      </c>
      <c r="X61" s="6" t="s">
        <v>42</v>
      </c>
      <c r="Y61" s="6" t="s">
        <v>35</v>
      </c>
      <c r="Z61" s="6" t="s">
        <v>46</v>
      </c>
      <c r="AA61" s="6" t="s">
        <v>37</v>
      </c>
      <c r="AB61" s="6" t="s">
        <v>37</v>
      </c>
      <c r="AC61" s="6" t="s">
        <v>38</v>
      </c>
      <c r="AD61" s="26" t="s">
        <v>47</v>
      </c>
      <c r="AE61" s="7" t="s">
        <v>40</v>
      </c>
      <c r="AF61" s="6">
        <v>110</v>
      </c>
      <c r="AG61" s="34" t="s">
        <v>40</v>
      </c>
      <c r="AH61" s="31" t="s">
        <v>54</v>
      </c>
    </row>
    <row r="62" ht="13.9" spans="1:34">
      <c r="A62" s="6">
        <v>1100</v>
      </c>
      <c r="B62" s="7">
        <v>0.35</v>
      </c>
      <c r="C62" s="6">
        <v>0.35</v>
      </c>
      <c r="D62" s="6">
        <v>0.2</v>
      </c>
      <c r="E62" s="6">
        <v>0.035</v>
      </c>
      <c r="F62" s="6">
        <v>0</v>
      </c>
      <c r="G62" s="6">
        <v>0</v>
      </c>
      <c r="H62" s="6">
        <v>0.065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8">
        <f t="shared" si="2"/>
        <v>99</v>
      </c>
      <c r="U62" s="7">
        <v>343</v>
      </c>
      <c r="V62" s="6">
        <v>25</v>
      </c>
      <c r="W62" s="6">
        <v>0</v>
      </c>
      <c r="X62" s="6" t="s">
        <v>34</v>
      </c>
      <c r="Y62" s="6" t="s">
        <v>50</v>
      </c>
      <c r="Z62" s="6" t="s">
        <v>37</v>
      </c>
      <c r="AA62" s="6" t="s">
        <v>37</v>
      </c>
      <c r="AB62" s="6" t="s">
        <v>37</v>
      </c>
      <c r="AC62" s="6" t="s">
        <v>45</v>
      </c>
      <c r="AD62" s="26" t="s">
        <v>57</v>
      </c>
      <c r="AE62" s="7" t="s">
        <v>40</v>
      </c>
      <c r="AF62" s="6">
        <v>105</v>
      </c>
      <c r="AG62" s="10" t="s">
        <v>40</v>
      </c>
      <c r="AH62" s="31" t="s">
        <v>54</v>
      </c>
    </row>
    <row r="63" ht="13.9" spans="1:34">
      <c r="A63" s="6">
        <v>1100</v>
      </c>
      <c r="B63" s="7">
        <v>0.35</v>
      </c>
      <c r="C63" s="6">
        <v>0.35</v>
      </c>
      <c r="D63" s="6">
        <v>0.2</v>
      </c>
      <c r="E63" s="6">
        <v>0.035</v>
      </c>
      <c r="F63" s="6">
        <v>0</v>
      </c>
      <c r="G63" s="6">
        <v>0</v>
      </c>
      <c r="H63" s="6">
        <v>0.065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8">
        <f t="shared" si="2"/>
        <v>99</v>
      </c>
      <c r="U63" s="7">
        <v>343</v>
      </c>
      <c r="V63" s="6">
        <v>25</v>
      </c>
      <c r="W63" s="6">
        <v>0</v>
      </c>
      <c r="X63" s="6" t="s">
        <v>34</v>
      </c>
      <c r="Y63" s="6" t="s">
        <v>50</v>
      </c>
      <c r="Z63" s="6" t="s">
        <v>37</v>
      </c>
      <c r="AA63" s="6" t="s">
        <v>37</v>
      </c>
      <c r="AB63" s="6" t="s">
        <v>37</v>
      </c>
      <c r="AC63" s="6" t="s">
        <v>69</v>
      </c>
      <c r="AD63" s="26" t="s">
        <v>57</v>
      </c>
      <c r="AE63" s="7" t="s">
        <v>40</v>
      </c>
      <c r="AF63" s="6">
        <v>105</v>
      </c>
      <c r="AG63" s="10" t="s">
        <v>40</v>
      </c>
      <c r="AH63" s="31" t="s">
        <v>54</v>
      </c>
    </row>
    <row r="64" ht="13.9" spans="1:34">
      <c r="A64" s="6">
        <v>1100</v>
      </c>
      <c r="B64" s="7">
        <v>0.35</v>
      </c>
      <c r="C64" s="6">
        <v>0.35</v>
      </c>
      <c r="D64" s="6">
        <v>0.2</v>
      </c>
      <c r="E64" s="6">
        <v>0.035</v>
      </c>
      <c r="F64" s="6">
        <v>0</v>
      </c>
      <c r="G64" s="6">
        <v>0</v>
      </c>
      <c r="H64" s="6">
        <v>0.065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8">
        <v>99</v>
      </c>
      <c r="U64" s="7">
        <v>343</v>
      </c>
      <c r="V64" s="6">
        <v>25</v>
      </c>
      <c r="W64" s="6">
        <v>0</v>
      </c>
      <c r="X64" s="6" t="s">
        <v>34</v>
      </c>
      <c r="Y64" s="6" t="s">
        <v>50</v>
      </c>
      <c r="Z64" s="6" t="s">
        <v>37</v>
      </c>
      <c r="AA64" s="6" t="s">
        <v>37</v>
      </c>
      <c r="AB64" s="6" t="s">
        <v>37</v>
      </c>
      <c r="AC64" s="6" t="s">
        <v>38</v>
      </c>
      <c r="AD64" s="26" t="s">
        <v>57</v>
      </c>
      <c r="AE64" s="7" t="s">
        <v>40</v>
      </c>
      <c r="AF64" s="6">
        <v>105</v>
      </c>
      <c r="AG64" s="10" t="s">
        <v>40</v>
      </c>
      <c r="AH64" s="31" t="s">
        <v>54</v>
      </c>
    </row>
    <row r="65" ht="13.9" spans="1:34">
      <c r="A65" s="6">
        <v>1100</v>
      </c>
      <c r="B65" s="7">
        <v>0.35</v>
      </c>
      <c r="C65" s="6">
        <v>0.35</v>
      </c>
      <c r="D65" s="6">
        <v>0.2</v>
      </c>
      <c r="E65" s="6">
        <v>0.035</v>
      </c>
      <c r="F65" s="6">
        <v>0</v>
      </c>
      <c r="G65" s="6">
        <v>0</v>
      </c>
      <c r="H65" s="6">
        <v>0.065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8">
        <f t="shared" ref="T65:T90" si="3">100-SUM(B65:S65)</f>
        <v>99</v>
      </c>
      <c r="U65" s="7">
        <v>25</v>
      </c>
      <c r="V65" s="6">
        <v>25</v>
      </c>
      <c r="W65" s="6">
        <v>0</v>
      </c>
      <c r="X65" s="6" t="s">
        <v>42</v>
      </c>
      <c r="Y65" s="6" t="s">
        <v>35</v>
      </c>
      <c r="Z65" s="6" t="s">
        <v>65</v>
      </c>
      <c r="AA65" s="6" t="s">
        <v>37</v>
      </c>
      <c r="AB65" s="6" t="s">
        <v>37</v>
      </c>
      <c r="AC65" s="6" t="s">
        <v>51</v>
      </c>
      <c r="AD65" s="26" t="s">
        <v>66</v>
      </c>
      <c r="AE65" s="7" t="s">
        <v>40</v>
      </c>
      <c r="AF65" s="6">
        <v>95</v>
      </c>
      <c r="AG65" s="34" t="s">
        <v>40</v>
      </c>
      <c r="AH65" s="31" t="s">
        <v>54</v>
      </c>
    </row>
    <row r="66" ht="13.9" spans="1:34">
      <c r="A66" s="6">
        <v>1100</v>
      </c>
      <c r="B66" s="7">
        <v>0.35</v>
      </c>
      <c r="C66" s="6">
        <v>0.35</v>
      </c>
      <c r="D66" s="6">
        <v>0.2</v>
      </c>
      <c r="E66" s="6">
        <v>0.035</v>
      </c>
      <c r="F66" s="6">
        <v>0</v>
      </c>
      <c r="G66" s="6">
        <v>0</v>
      </c>
      <c r="H66" s="6">
        <v>0.065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8">
        <f t="shared" si="3"/>
        <v>99</v>
      </c>
      <c r="U66" s="7">
        <v>25</v>
      </c>
      <c r="V66" s="6">
        <v>25</v>
      </c>
      <c r="W66" s="6">
        <v>0</v>
      </c>
      <c r="X66" s="6" t="s">
        <v>42</v>
      </c>
      <c r="Y66" s="6" t="s">
        <v>35</v>
      </c>
      <c r="Z66" s="6" t="s">
        <v>65</v>
      </c>
      <c r="AA66" s="6" t="s">
        <v>37</v>
      </c>
      <c r="AB66" s="6" t="s">
        <v>37</v>
      </c>
      <c r="AC66" s="6" t="s">
        <v>69</v>
      </c>
      <c r="AD66" s="26" t="s">
        <v>66</v>
      </c>
      <c r="AE66" s="7" t="s">
        <v>40</v>
      </c>
      <c r="AF66" s="6">
        <v>95</v>
      </c>
      <c r="AG66" s="34" t="s">
        <v>40</v>
      </c>
      <c r="AH66" s="31" t="s">
        <v>54</v>
      </c>
    </row>
    <row r="67" ht="13.9" spans="1:34">
      <c r="A67" s="6">
        <v>1100</v>
      </c>
      <c r="B67" s="7">
        <v>0.35</v>
      </c>
      <c r="C67" s="6">
        <v>0.35</v>
      </c>
      <c r="D67" s="6">
        <v>0.2</v>
      </c>
      <c r="E67" s="6">
        <v>0.035</v>
      </c>
      <c r="F67" s="6">
        <v>0</v>
      </c>
      <c r="G67" s="6">
        <v>0</v>
      </c>
      <c r="H67" s="6">
        <v>0.065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8">
        <f t="shared" si="3"/>
        <v>99</v>
      </c>
      <c r="U67" s="7">
        <v>25</v>
      </c>
      <c r="V67" s="6">
        <v>25</v>
      </c>
      <c r="W67" s="6">
        <v>0</v>
      </c>
      <c r="X67" s="6" t="s">
        <v>42</v>
      </c>
      <c r="Y67" s="6" t="s">
        <v>35</v>
      </c>
      <c r="Z67" s="6" t="s">
        <v>65</v>
      </c>
      <c r="AA67" s="6" t="s">
        <v>37</v>
      </c>
      <c r="AB67" s="6" t="s">
        <v>37</v>
      </c>
      <c r="AC67" s="6" t="s">
        <v>38</v>
      </c>
      <c r="AD67" s="26" t="s">
        <v>66</v>
      </c>
      <c r="AE67" s="7" t="s">
        <v>40</v>
      </c>
      <c r="AF67" s="6">
        <v>95</v>
      </c>
      <c r="AG67" s="34" t="s">
        <v>40</v>
      </c>
      <c r="AH67" s="31" t="s">
        <v>54</v>
      </c>
    </row>
    <row r="68" ht="13.9" spans="1:34">
      <c r="A68" s="6">
        <v>1100</v>
      </c>
      <c r="B68" s="7">
        <v>0.35</v>
      </c>
      <c r="C68" s="6">
        <v>0.35</v>
      </c>
      <c r="D68" s="6">
        <v>0.2</v>
      </c>
      <c r="E68" s="6">
        <v>0.035</v>
      </c>
      <c r="F68" s="6">
        <v>0</v>
      </c>
      <c r="G68" s="6">
        <v>0</v>
      </c>
      <c r="H68" s="6">
        <v>0.065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8">
        <f t="shared" si="3"/>
        <v>99</v>
      </c>
      <c r="U68" s="7">
        <v>343</v>
      </c>
      <c r="V68" s="6">
        <v>25</v>
      </c>
      <c r="W68" s="6">
        <v>0</v>
      </c>
      <c r="X68" s="6" t="s">
        <v>53</v>
      </c>
      <c r="Y68" s="6" t="s">
        <v>50</v>
      </c>
      <c r="Z68" s="6" t="s">
        <v>37</v>
      </c>
      <c r="AA68" s="6" t="s">
        <v>37</v>
      </c>
      <c r="AB68" s="6" t="s">
        <v>37</v>
      </c>
      <c r="AC68" s="6" t="s">
        <v>53</v>
      </c>
      <c r="AD68" s="26" t="s">
        <v>57</v>
      </c>
      <c r="AE68" s="7">
        <v>34</v>
      </c>
      <c r="AF68" s="6">
        <v>90</v>
      </c>
      <c r="AG68" s="10">
        <v>40</v>
      </c>
      <c r="AH68" s="31" t="s">
        <v>54</v>
      </c>
    </row>
    <row r="69" ht="13.9" spans="1:34">
      <c r="A69" s="6">
        <v>1100</v>
      </c>
      <c r="B69" s="7">
        <v>0.35</v>
      </c>
      <c r="C69" s="6">
        <v>0.35</v>
      </c>
      <c r="D69" s="6">
        <v>0.2</v>
      </c>
      <c r="E69" s="6">
        <v>0.035</v>
      </c>
      <c r="F69" s="6">
        <v>0</v>
      </c>
      <c r="G69" s="6">
        <v>0</v>
      </c>
      <c r="H69" s="6">
        <v>0.065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8">
        <f t="shared" si="3"/>
        <v>99</v>
      </c>
      <c r="U69" s="7">
        <v>343</v>
      </c>
      <c r="V69" s="6">
        <v>25</v>
      </c>
      <c r="W69" s="6">
        <v>0</v>
      </c>
      <c r="X69" s="6" t="s">
        <v>42</v>
      </c>
      <c r="Y69" s="6" t="s">
        <v>50</v>
      </c>
      <c r="Z69" s="6" t="s">
        <v>37</v>
      </c>
      <c r="AA69" s="6" t="s">
        <v>37</v>
      </c>
      <c r="AB69" s="6" t="s">
        <v>37</v>
      </c>
      <c r="AC69" s="6" t="s">
        <v>59</v>
      </c>
      <c r="AD69" s="26" t="s">
        <v>57</v>
      </c>
      <c r="AE69" s="7">
        <v>30</v>
      </c>
      <c r="AF69" s="6">
        <v>90</v>
      </c>
      <c r="AG69" s="34" t="s">
        <v>40</v>
      </c>
      <c r="AH69" s="31" t="s">
        <v>54</v>
      </c>
    </row>
    <row r="70" ht="13.9" spans="1:34">
      <c r="A70" s="6">
        <v>1100</v>
      </c>
      <c r="B70" s="7">
        <v>0.35</v>
      </c>
      <c r="C70" s="6">
        <v>0.35</v>
      </c>
      <c r="D70" s="6">
        <v>0.2</v>
      </c>
      <c r="E70" s="6">
        <v>0.035</v>
      </c>
      <c r="F70" s="6">
        <v>0</v>
      </c>
      <c r="G70" s="6">
        <v>0</v>
      </c>
      <c r="H70" s="6">
        <v>0.065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8">
        <f t="shared" si="3"/>
        <v>99</v>
      </c>
      <c r="U70" s="7">
        <v>343</v>
      </c>
      <c r="V70" s="6">
        <v>25</v>
      </c>
      <c r="W70" s="6">
        <v>0</v>
      </c>
      <c r="X70" s="6" t="s">
        <v>42</v>
      </c>
      <c r="Y70" s="6" t="s">
        <v>50</v>
      </c>
      <c r="Z70" s="6" t="s">
        <v>37</v>
      </c>
      <c r="AA70" s="6" t="s">
        <v>37</v>
      </c>
      <c r="AB70" s="6" t="s">
        <v>37</v>
      </c>
      <c r="AC70" s="6" t="s">
        <v>43</v>
      </c>
      <c r="AD70" s="26" t="s">
        <v>57</v>
      </c>
      <c r="AE70" s="7">
        <v>30</v>
      </c>
      <c r="AF70" s="6">
        <v>90</v>
      </c>
      <c r="AG70" s="34" t="s">
        <v>40</v>
      </c>
      <c r="AH70" s="31" t="s">
        <v>54</v>
      </c>
    </row>
    <row r="71" ht="13.9" spans="1:34">
      <c r="A71" s="6">
        <v>1100</v>
      </c>
      <c r="B71" s="7">
        <v>0.35</v>
      </c>
      <c r="C71" s="6">
        <v>0.35</v>
      </c>
      <c r="D71" s="6">
        <v>0.2</v>
      </c>
      <c r="E71" s="6">
        <v>0.035</v>
      </c>
      <c r="F71" s="6">
        <v>0</v>
      </c>
      <c r="G71" s="6">
        <v>0</v>
      </c>
      <c r="H71" s="6">
        <v>0.065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8">
        <f t="shared" si="3"/>
        <v>99</v>
      </c>
      <c r="U71" s="7">
        <v>343</v>
      </c>
      <c r="V71" s="6">
        <v>25</v>
      </c>
      <c r="W71" s="6">
        <v>0</v>
      </c>
      <c r="X71" s="6" t="s">
        <v>44</v>
      </c>
      <c r="Y71" s="6" t="s">
        <v>50</v>
      </c>
      <c r="Z71" s="6" t="s">
        <v>37</v>
      </c>
      <c r="AA71" s="6" t="s">
        <v>37</v>
      </c>
      <c r="AB71" s="6" t="s">
        <v>37</v>
      </c>
      <c r="AC71" s="6" t="s">
        <v>45</v>
      </c>
      <c r="AD71" s="26" t="s">
        <v>57</v>
      </c>
      <c r="AE71" s="7">
        <v>20</v>
      </c>
      <c r="AF71" s="6">
        <v>90</v>
      </c>
      <c r="AG71" s="10">
        <v>25</v>
      </c>
      <c r="AH71" s="31" t="s">
        <v>54</v>
      </c>
    </row>
    <row r="72" ht="13.9" spans="1:34">
      <c r="A72" s="6">
        <v>1100</v>
      </c>
      <c r="B72" s="7">
        <v>0.35</v>
      </c>
      <c r="C72" s="6">
        <v>0.35</v>
      </c>
      <c r="D72" s="6">
        <v>0.2</v>
      </c>
      <c r="E72" s="6">
        <v>0.035</v>
      </c>
      <c r="F72" s="6">
        <v>0</v>
      </c>
      <c r="G72" s="6">
        <v>0</v>
      </c>
      <c r="H72" s="6">
        <v>0.065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8">
        <f t="shared" si="3"/>
        <v>99</v>
      </c>
      <c r="U72" s="7">
        <v>343</v>
      </c>
      <c r="V72" s="6">
        <v>25</v>
      </c>
      <c r="W72" s="6">
        <v>0</v>
      </c>
      <c r="X72" s="6" t="s">
        <v>44</v>
      </c>
      <c r="Y72" s="6" t="s">
        <v>50</v>
      </c>
      <c r="Z72" s="6" t="s">
        <v>37</v>
      </c>
      <c r="AA72" s="6" t="s">
        <v>37</v>
      </c>
      <c r="AB72" s="6" t="s">
        <v>37</v>
      </c>
      <c r="AC72" s="6" t="s">
        <v>51</v>
      </c>
      <c r="AD72" s="26" t="s">
        <v>57</v>
      </c>
      <c r="AE72" s="7">
        <v>20</v>
      </c>
      <c r="AF72" s="6">
        <v>90</v>
      </c>
      <c r="AG72" s="10">
        <v>25</v>
      </c>
      <c r="AH72" s="31" t="s">
        <v>54</v>
      </c>
    </row>
    <row r="73" ht="13.9" spans="1:34">
      <c r="A73" s="6">
        <v>1100</v>
      </c>
      <c r="B73" s="7">
        <v>0.35</v>
      </c>
      <c r="C73" s="6">
        <v>0.35</v>
      </c>
      <c r="D73" s="6">
        <v>0.2</v>
      </c>
      <c r="E73" s="6">
        <v>0.035</v>
      </c>
      <c r="F73" s="6">
        <v>0</v>
      </c>
      <c r="G73" s="6">
        <v>0</v>
      </c>
      <c r="H73" s="6">
        <v>0.065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8">
        <f t="shared" si="3"/>
        <v>99</v>
      </c>
      <c r="U73" s="7">
        <v>343</v>
      </c>
      <c r="V73" s="6">
        <v>25</v>
      </c>
      <c r="W73" s="6">
        <v>0</v>
      </c>
      <c r="X73" s="6" t="s">
        <v>42</v>
      </c>
      <c r="Y73" s="6" t="s">
        <v>50</v>
      </c>
      <c r="Z73" s="6" t="s">
        <v>37</v>
      </c>
      <c r="AA73" s="6" t="s">
        <v>37</v>
      </c>
      <c r="AB73" s="6" t="s">
        <v>37</v>
      </c>
      <c r="AC73" s="6" t="s">
        <v>51</v>
      </c>
      <c r="AD73" s="26" t="s">
        <v>57</v>
      </c>
      <c r="AE73" s="7">
        <v>20</v>
      </c>
      <c r="AF73" s="6">
        <v>90</v>
      </c>
      <c r="AG73" s="34">
        <v>25</v>
      </c>
      <c r="AH73" s="31" t="s">
        <v>54</v>
      </c>
    </row>
    <row r="74" ht="13.9" spans="1:34">
      <c r="A74" s="6">
        <v>1100</v>
      </c>
      <c r="B74" s="7">
        <v>0.35</v>
      </c>
      <c r="C74" s="6">
        <v>0.35</v>
      </c>
      <c r="D74" s="6">
        <v>0.2</v>
      </c>
      <c r="E74" s="6">
        <v>0.035</v>
      </c>
      <c r="F74" s="6">
        <v>0</v>
      </c>
      <c r="G74" s="6">
        <v>0</v>
      </c>
      <c r="H74" s="6">
        <v>0.065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8">
        <f t="shared" si="3"/>
        <v>99</v>
      </c>
      <c r="U74" s="7">
        <v>343</v>
      </c>
      <c r="V74" s="6">
        <v>25</v>
      </c>
      <c r="W74" s="6">
        <v>0</v>
      </c>
      <c r="X74" s="6" t="s">
        <v>44</v>
      </c>
      <c r="Y74" s="6" t="s">
        <v>50</v>
      </c>
      <c r="Z74" s="6" t="s">
        <v>37</v>
      </c>
      <c r="AA74" s="6" t="s">
        <v>37</v>
      </c>
      <c r="AB74" s="6" t="s">
        <v>37</v>
      </c>
      <c r="AC74" s="6" t="s">
        <v>69</v>
      </c>
      <c r="AD74" s="26" t="s">
        <v>57</v>
      </c>
      <c r="AE74" s="7">
        <v>20</v>
      </c>
      <c r="AF74" s="6">
        <v>90</v>
      </c>
      <c r="AG74" s="34">
        <v>25</v>
      </c>
      <c r="AH74" s="31" t="s">
        <v>54</v>
      </c>
    </row>
    <row r="75" ht="13.9" spans="1:34">
      <c r="A75" s="6">
        <v>1100</v>
      </c>
      <c r="B75" s="7">
        <v>0.35</v>
      </c>
      <c r="C75" s="6">
        <v>0.35</v>
      </c>
      <c r="D75" s="6">
        <v>0.2</v>
      </c>
      <c r="E75" s="6">
        <v>0.035</v>
      </c>
      <c r="F75" s="6">
        <v>0</v>
      </c>
      <c r="G75" s="6">
        <v>0</v>
      </c>
      <c r="H75" s="6">
        <v>0.065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8">
        <f t="shared" si="3"/>
        <v>99</v>
      </c>
      <c r="U75" s="7">
        <v>343</v>
      </c>
      <c r="V75" s="6">
        <v>25</v>
      </c>
      <c r="W75" s="6">
        <v>0</v>
      </c>
      <c r="X75" s="6" t="s">
        <v>42</v>
      </c>
      <c r="Y75" s="6" t="s">
        <v>50</v>
      </c>
      <c r="Z75" s="6" t="s">
        <v>37</v>
      </c>
      <c r="AA75" s="6" t="s">
        <v>37</v>
      </c>
      <c r="AB75" s="6" t="s">
        <v>37</v>
      </c>
      <c r="AC75" s="6" t="s">
        <v>69</v>
      </c>
      <c r="AD75" s="26" t="s">
        <v>57</v>
      </c>
      <c r="AE75" s="7">
        <v>20</v>
      </c>
      <c r="AF75" s="6">
        <v>90</v>
      </c>
      <c r="AG75" s="34">
        <v>25</v>
      </c>
      <c r="AH75" s="31" t="s">
        <v>54</v>
      </c>
    </row>
    <row r="76" ht="13.9" spans="1:34">
      <c r="A76" s="6">
        <v>1100</v>
      </c>
      <c r="B76" s="7">
        <v>0.35</v>
      </c>
      <c r="C76" s="6">
        <v>0.35</v>
      </c>
      <c r="D76" s="6">
        <v>0.2</v>
      </c>
      <c r="E76" s="6">
        <v>0.035</v>
      </c>
      <c r="F76" s="6">
        <v>0</v>
      </c>
      <c r="G76" s="6">
        <v>0</v>
      </c>
      <c r="H76" s="6">
        <v>0.065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8">
        <f t="shared" si="3"/>
        <v>99</v>
      </c>
      <c r="U76" s="7">
        <v>343</v>
      </c>
      <c r="V76" s="6">
        <v>25</v>
      </c>
      <c r="W76" s="6">
        <v>0</v>
      </c>
      <c r="X76" s="6" t="s">
        <v>44</v>
      </c>
      <c r="Y76" s="6" t="s">
        <v>50</v>
      </c>
      <c r="Z76" s="6" t="s">
        <v>37</v>
      </c>
      <c r="AA76" s="6" t="s">
        <v>37</v>
      </c>
      <c r="AB76" s="6" t="s">
        <v>37</v>
      </c>
      <c r="AC76" s="6" t="s">
        <v>38</v>
      </c>
      <c r="AD76" s="26" t="s">
        <v>57</v>
      </c>
      <c r="AE76" s="7">
        <v>20</v>
      </c>
      <c r="AF76" s="6">
        <v>90</v>
      </c>
      <c r="AG76" s="10">
        <v>25</v>
      </c>
      <c r="AH76" s="31" t="s">
        <v>54</v>
      </c>
    </row>
    <row r="77" ht="13.9" spans="1:34">
      <c r="A77" s="6">
        <v>1100</v>
      </c>
      <c r="B77" s="7">
        <v>0.35</v>
      </c>
      <c r="C77" s="6">
        <v>0.35</v>
      </c>
      <c r="D77" s="6">
        <v>0.2</v>
      </c>
      <c r="E77" s="6">
        <v>0.035</v>
      </c>
      <c r="F77" s="6">
        <v>0</v>
      </c>
      <c r="G77" s="6">
        <v>0</v>
      </c>
      <c r="H77" s="6">
        <v>0.065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8">
        <f t="shared" si="3"/>
        <v>99</v>
      </c>
      <c r="U77" s="7">
        <v>343</v>
      </c>
      <c r="V77" s="6">
        <v>25</v>
      </c>
      <c r="W77" s="6">
        <v>0</v>
      </c>
      <c r="X77" s="6" t="s">
        <v>42</v>
      </c>
      <c r="Y77" s="6" t="s">
        <v>50</v>
      </c>
      <c r="Z77" s="6" t="s">
        <v>37</v>
      </c>
      <c r="AA77" s="6" t="s">
        <v>37</v>
      </c>
      <c r="AB77" s="6" t="s">
        <v>37</v>
      </c>
      <c r="AC77" s="6" t="s">
        <v>38</v>
      </c>
      <c r="AD77" s="26" t="s">
        <v>57</v>
      </c>
      <c r="AE77" s="7">
        <v>20</v>
      </c>
      <c r="AF77" s="6">
        <v>90</v>
      </c>
      <c r="AG77" s="34">
        <v>25</v>
      </c>
      <c r="AH77" s="31" t="s">
        <v>54</v>
      </c>
    </row>
    <row r="78" ht="13.9" spans="1:34">
      <c r="A78" s="6">
        <v>1100</v>
      </c>
      <c r="B78" s="7">
        <v>0.35</v>
      </c>
      <c r="C78" s="6">
        <v>0.35</v>
      </c>
      <c r="D78" s="6">
        <v>0.2</v>
      </c>
      <c r="E78" s="6">
        <v>0.035</v>
      </c>
      <c r="F78" s="6">
        <v>0</v>
      </c>
      <c r="G78" s="6">
        <v>0</v>
      </c>
      <c r="H78" s="6">
        <v>0.065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8">
        <f t="shared" si="3"/>
        <v>99</v>
      </c>
      <c r="U78" s="7">
        <v>25</v>
      </c>
      <c r="V78" s="6">
        <v>25</v>
      </c>
      <c r="W78" s="6">
        <v>0</v>
      </c>
      <c r="X78" s="6" t="s">
        <v>42</v>
      </c>
      <c r="Y78" s="6" t="s">
        <v>35</v>
      </c>
      <c r="Z78" s="6" t="s">
        <v>67</v>
      </c>
      <c r="AA78" s="6" t="s">
        <v>37</v>
      </c>
      <c r="AB78" s="6" t="s">
        <v>37</v>
      </c>
      <c r="AC78" s="6" t="s">
        <v>59</v>
      </c>
      <c r="AD78" s="26" t="s">
        <v>68</v>
      </c>
      <c r="AE78" s="7">
        <v>38</v>
      </c>
      <c r="AF78" s="6">
        <v>84</v>
      </c>
      <c r="AG78" s="34" t="s">
        <v>40</v>
      </c>
      <c r="AH78" s="31" t="s">
        <v>54</v>
      </c>
    </row>
    <row r="79" ht="13.9" spans="1:34">
      <c r="A79" s="6">
        <v>1100</v>
      </c>
      <c r="B79" s="7">
        <v>0.35</v>
      </c>
      <c r="C79" s="6">
        <v>0.35</v>
      </c>
      <c r="D79" s="6">
        <v>0.2</v>
      </c>
      <c r="E79" s="6">
        <v>0.035</v>
      </c>
      <c r="F79" s="6">
        <v>0</v>
      </c>
      <c r="G79" s="6">
        <v>0</v>
      </c>
      <c r="H79" s="6">
        <v>0.065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8">
        <f t="shared" si="3"/>
        <v>99</v>
      </c>
      <c r="U79" s="7">
        <v>25</v>
      </c>
      <c r="V79" s="6">
        <v>25</v>
      </c>
      <c r="W79" s="6">
        <v>0</v>
      </c>
      <c r="X79" s="6" t="s">
        <v>44</v>
      </c>
      <c r="Y79" s="6" t="s">
        <v>35</v>
      </c>
      <c r="Z79" s="6" t="s">
        <v>67</v>
      </c>
      <c r="AA79" s="6" t="s">
        <v>37</v>
      </c>
      <c r="AB79" s="6" t="s">
        <v>37</v>
      </c>
      <c r="AC79" s="6" t="s">
        <v>45</v>
      </c>
      <c r="AD79" s="26" t="s">
        <v>68</v>
      </c>
      <c r="AE79" s="7">
        <v>20</v>
      </c>
      <c r="AF79" s="6">
        <v>75</v>
      </c>
      <c r="AG79" s="10">
        <v>25</v>
      </c>
      <c r="AH79" s="31" t="s">
        <v>54</v>
      </c>
    </row>
    <row r="80" ht="13.9" spans="1:34">
      <c r="A80" s="6">
        <v>1100</v>
      </c>
      <c r="B80" s="7">
        <v>0.35</v>
      </c>
      <c r="C80" s="6">
        <v>0.35</v>
      </c>
      <c r="D80" s="6">
        <v>0.2</v>
      </c>
      <c r="E80" s="6">
        <v>0.035</v>
      </c>
      <c r="F80" s="6">
        <v>0</v>
      </c>
      <c r="G80" s="6">
        <v>0</v>
      </c>
      <c r="H80" s="6">
        <v>0.065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8">
        <f t="shared" si="3"/>
        <v>99</v>
      </c>
      <c r="U80" s="7">
        <v>25</v>
      </c>
      <c r="V80" s="6">
        <v>25</v>
      </c>
      <c r="W80" s="6">
        <v>0</v>
      </c>
      <c r="X80" s="6" t="s">
        <v>44</v>
      </c>
      <c r="Y80" s="6" t="s">
        <v>35</v>
      </c>
      <c r="Z80" s="6" t="s">
        <v>67</v>
      </c>
      <c r="AA80" s="6" t="s">
        <v>37</v>
      </c>
      <c r="AB80" s="6" t="s">
        <v>37</v>
      </c>
      <c r="AC80" s="6" t="s">
        <v>51</v>
      </c>
      <c r="AD80" s="26" t="s">
        <v>68</v>
      </c>
      <c r="AE80" s="7">
        <v>20</v>
      </c>
      <c r="AF80" s="6">
        <v>75</v>
      </c>
      <c r="AG80" s="10" t="s">
        <v>40</v>
      </c>
      <c r="AH80" s="31" t="s">
        <v>54</v>
      </c>
    </row>
    <row r="81" ht="13.9" spans="1:34">
      <c r="A81" s="6">
        <v>1100</v>
      </c>
      <c r="B81" s="7">
        <v>0.35</v>
      </c>
      <c r="C81" s="6">
        <v>0.35</v>
      </c>
      <c r="D81" s="6">
        <v>0.2</v>
      </c>
      <c r="E81" s="6">
        <v>0.035</v>
      </c>
      <c r="F81" s="6">
        <v>0</v>
      </c>
      <c r="G81" s="6">
        <v>0</v>
      </c>
      <c r="H81" s="6">
        <v>0.065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8">
        <f t="shared" si="3"/>
        <v>99</v>
      </c>
      <c r="U81" s="7">
        <v>25</v>
      </c>
      <c r="V81" s="6">
        <v>25</v>
      </c>
      <c r="W81" s="6">
        <v>0</v>
      </c>
      <c r="X81" s="6" t="s">
        <v>42</v>
      </c>
      <c r="Y81" s="6" t="s">
        <v>35</v>
      </c>
      <c r="Z81" s="6" t="s">
        <v>67</v>
      </c>
      <c r="AA81" s="6" t="s">
        <v>37</v>
      </c>
      <c r="AB81" s="6" t="s">
        <v>37</v>
      </c>
      <c r="AC81" s="6" t="s">
        <v>51</v>
      </c>
      <c r="AD81" s="26" t="s">
        <v>68</v>
      </c>
      <c r="AE81" s="7">
        <v>20</v>
      </c>
      <c r="AF81" s="6">
        <v>75</v>
      </c>
      <c r="AG81" s="34" t="s">
        <v>40</v>
      </c>
      <c r="AH81" s="31" t="s">
        <v>54</v>
      </c>
    </row>
    <row r="82" ht="13.9" spans="1:34">
      <c r="A82" s="6">
        <v>1100</v>
      </c>
      <c r="B82" s="7">
        <v>0.35</v>
      </c>
      <c r="C82" s="6">
        <v>0.35</v>
      </c>
      <c r="D82" s="6">
        <v>0.2</v>
      </c>
      <c r="E82" s="6">
        <v>0.035</v>
      </c>
      <c r="F82" s="6">
        <v>0</v>
      </c>
      <c r="G82" s="6">
        <v>0</v>
      </c>
      <c r="H82" s="6">
        <v>0.065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8">
        <f t="shared" si="3"/>
        <v>99</v>
      </c>
      <c r="U82" s="7">
        <v>25</v>
      </c>
      <c r="V82" s="6">
        <v>25</v>
      </c>
      <c r="W82" s="6">
        <v>0</v>
      </c>
      <c r="X82" s="6" t="s">
        <v>44</v>
      </c>
      <c r="Y82" s="6" t="s">
        <v>35</v>
      </c>
      <c r="Z82" s="6" t="s">
        <v>67</v>
      </c>
      <c r="AA82" s="6" t="s">
        <v>37</v>
      </c>
      <c r="AB82" s="6" t="s">
        <v>37</v>
      </c>
      <c r="AC82" s="6" t="s">
        <v>69</v>
      </c>
      <c r="AD82" s="26" t="s">
        <v>68</v>
      </c>
      <c r="AE82" s="7">
        <v>20</v>
      </c>
      <c r="AF82" s="6">
        <v>75</v>
      </c>
      <c r="AG82" s="34" t="s">
        <v>40</v>
      </c>
      <c r="AH82" s="31" t="s">
        <v>54</v>
      </c>
    </row>
    <row r="83" ht="13.9" spans="1:34">
      <c r="A83" s="6">
        <v>1100</v>
      </c>
      <c r="B83" s="7">
        <v>0.35</v>
      </c>
      <c r="C83" s="6">
        <v>0.35</v>
      </c>
      <c r="D83" s="6">
        <v>0.2</v>
      </c>
      <c r="E83" s="6">
        <v>0.035</v>
      </c>
      <c r="F83" s="6">
        <v>0</v>
      </c>
      <c r="G83" s="6">
        <v>0</v>
      </c>
      <c r="H83" s="6">
        <v>0.065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8">
        <f t="shared" si="3"/>
        <v>99</v>
      </c>
      <c r="U83" s="7">
        <v>25</v>
      </c>
      <c r="V83" s="6">
        <v>25</v>
      </c>
      <c r="W83" s="6">
        <v>0</v>
      </c>
      <c r="X83" s="6" t="s">
        <v>42</v>
      </c>
      <c r="Y83" s="6" t="s">
        <v>35</v>
      </c>
      <c r="Z83" s="6" t="s">
        <v>67</v>
      </c>
      <c r="AA83" s="6" t="s">
        <v>37</v>
      </c>
      <c r="AB83" s="6" t="s">
        <v>37</v>
      </c>
      <c r="AC83" s="6" t="s">
        <v>69</v>
      </c>
      <c r="AD83" s="26" t="s">
        <v>68</v>
      </c>
      <c r="AE83" s="7">
        <v>20</v>
      </c>
      <c r="AF83" s="6">
        <v>75</v>
      </c>
      <c r="AG83" s="34" t="s">
        <v>40</v>
      </c>
      <c r="AH83" s="31" t="s">
        <v>54</v>
      </c>
    </row>
    <row r="84" ht="13.9" spans="1:34">
      <c r="A84" s="6">
        <v>1100</v>
      </c>
      <c r="B84" s="7">
        <v>0.35</v>
      </c>
      <c r="C84" s="6">
        <v>0.35</v>
      </c>
      <c r="D84" s="6">
        <v>0.2</v>
      </c>
      <c r="E84" s="6">
        <v>0.035</v>
      </c>
      <c r="F84" s="6">
        <v>0</v>
      </c>
      <c r="G84" s="6">
        <v>0</v>
      </c>
      <c r="H84" s="6">
        <v>0.065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8">
        <f t="shared" si="3"/>
        <v>99</v>
      </c>
      <c r="U84" s="7">
        <v>25</v>
      </c>
      <c r="V84" s="6">
        <v>25</v>
      </c>
      <c r="W84" s="6">
        <v>0</v>
      </c>
      <c r="X84" s="6" t="s">
        <v>44</v>
      </c>
      <c r="Y84" s="6" t="s">
        <v>35</v>
      </c>
      <c r="Z84" s="6" t="s">
        <v>67</v>
      </c>
      <c r="AA84" s="6" t="s">
        <v>37</v>
      </c>
      <c r="AB84" s="6" t="s">
        <v>37</v>
      </c>
      <c r="AC84" s="6" t="s">
        <v>38</v>
      </c>
      <c r="AD84" s="26" t="s">
        <v>68</v>
      </c>
      <c r="AE84" s="7">
        <v>20</v>
      </c>
      <c r="AF84" s="6">
        <v>75</v>
      </c>
      <c r="AG84" s="10" t="s">
        <v>40</v>
      </c>
      <c r="AH84" s="31" t="s">
        <v>54</v>
      </c>
    </row>
    <row r="85" s="3" customFormat="1" ht="13.9" spans="1:34">
      <c r="A85" s="3">
        <v>1100</v>
      </c>
      <c r="B85" s="16">
        <v>0.35</v>
      </c>
      <c r="C85" s="3">
        <v>0.35</v>
      </c>
      <c r="D85" s="3">
        <v>0.2</v>
      </c>
      <c r="E85" s="3">
        <v>0.035</v>
      </c>
      <c r="F85" s="3">
        <v>0</v>
      </c>
      <c r="G85" s="3">
        <v>0</v>
      </c>
      <c r="H85" s="3">
        <v>0.065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22">
        <f t="shared" si="3"/>
        <v>99</v>
      </c>
      <c r="U85" s="16">
        <v>25</v>
      </c>
      <c r="V85" s="3">
        <v>25</v>
      </c>
      <c r="W85" s="3">
        <v>0</v>
      </c>
      <c r="X85" s="3" t="s">
        <v>42</v>
      </c>
      <c r="Y85" s="3" t="s">
        <v>35</v>
      </c>
      <c r="Z85" s="3" t="s">
        <v>67</v>
      </c>
      <c r="AA85" s="3" t="s">
        <v>37</v>
      </c>
      <c r="AB85" s="3" t="s">
        <v>37</v>
      </c>
      <c r="AC85" s="3" t="s">
        <v>38</v>
      </c>
      <c r="AD85" s="22" t="s">
        <v>68</v>
      </c>
      <c r="AE85" s="16">
        <v>20</v>
      </c>
      <c r="AF85" s="3">
        <v>75</v>
      </c>
      <c r="AG85" s="38" t="s">
        <v>40</v>
      </c>
      <c r="AH85" s="33" t="s">
        <v>54</v>
      </c>
    </row>
    <row r="86" ht="13.9" spans="1:34">
      <c r="A86" s="6">
        <v>1145</v>
      </c>
      <c r="B86" s="7">
        <v>0.2</v>
      </c>
      <c r="C86" s="6">
        <v>0.2</v>
      </c>
      <c r="D86" s="6">
        <v>0.026</v>
      </c>
      <c r="E86" s="6">
        <v>0.026</v>
      </c>
      <c r="F86" s="6">
        <v>0.026</v>
      </c>
      <c r="G86" s="6">
        <v>0</v>
      </c>
      <c r="H86" s="6">
        <v>0.026</v>
      </c>
      <c r="I86" s="6">
        <v>0.026</v>
      </c>
      <c r="J86" s="6">
        <v>0.02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8">
        <f t="shared" si="3"/>
        <v>99.45</v>
      </c>
      <c r="U86" s="7">
        <v>25</v>
      </c>
      <c r="V86" s="6">
        <v>25</v>
      </c>
      <c r="W86" s="6">
        <v>0</v>
      </c>
      <c r="X86" s="6" t="s">
        <v>42</v>
      </c>
      <c r="Y86" s="6" t="s">
        <v>35</v>
      </c>
      <c r="Z86" s="6" t="s">
        <v>36</v>
      </c>
      <c r="AA86" s="6" t="s">
        <v>37</v>
      </c>
      <c r="AB86" s="6" t="s">
        <v>37</v>
      </c>
      <c r="AC86" s="6" t="s">
        <v>70</v>
      </c>
      <c r="AD86" s="26" t="s">
        <v>39</v>
      </c>
      <c r="AE86" s="7">
        <v>117</v>
      </c>
      <c r="AF86" s="6">
        <v>145</v>
      </c>
      <c r="AG86" s="34">
        <v>5</v>
      </c>
      <c r="AH86" s="31" t="s">
        <v>54</v>
      </c>
    </row>
    <row r="87" s="3" customFormat="1" ht="13.9" spans="1:34">
      <c r="A87" s="3">
        <v>1145</v>
      </c>
      <c r="B87" s="16">
        <v>0.2</v>
      </c>
      <c r="C87" s="3">
        <v>0.2</v>
      </c>
      <c r="D87" s="3">
        <v>0.026</v>
      </c>
      <c r="E87" s="3">
        <v>0.026</v>
      </c>
      <c r="F87" s="3">
        <v>0.026</v>
      </c>
      <c r="G87" s="3">
        <v>0</v>
      </c>
      <c r="H87" s="3">
        <v>0.026</v>
      </c>
      <c r="I87" s="3">
        <v>0.026</v>
      </c>
      <c r="J87" s="3">
        <v>0.02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22">
        <f t="shared" si="3"/>
        <v>99.45</v>
      </c>
      <c r="U87" s="16">
        <v>345</v>
      </c>
      <c r="V87" s="3">
        <v>25</v>
      </c>
      <c r="W87" s="3">
        <v>0</v>
      </c>
      <c r="X87" s="3" t="s">
        <v>42</v>
      </c>
      <c r="Y87" s="3" t="s">
        <v>50</v>
      </c>
      <c r="Z87" s="3" t="s">
        <v>37</v>
      </c>
      <c r="AA87" s="3" t="s">
        <v>37</v>
      </c>
      <c r="AB87" s="3" t="s">
        <v>37</v>
      </c>
      <c r="AC87" s="3" t="s">
        <v>70</v>
      </c>
      <c r="AD87" s="22" t="s">
        <v>57</v>
      </c>
      <c r="AE87" s="16">
        <v>34</v>
      </c>
      <c r="AF87" s="3">
        <v>85</v>
      </c>
      <c r="AG87" s="32">
        <v>40</v>
      </c>
      <c r="AH87" s="33" t="s">
        <v>54</v>
      </c>
    </row>
    <row r="88" s="4" customFormat="1" ht="13.9" spans="1:34">
      <c r="A88" s="4">
        <v>1199</v>
      </c>
      <c r="B88" s="35">
        <v>0.0014</v>
      </c>
      <c r="C88" s="4">
        <v>0.0014</v>
      </c>
      <c r="D88" s="4">
        <v>0.0014</v>
      </c>
      <c r="E88" s="4">
        <v>0.0005</v>
      </c>
      <c r="F88" s="4">
        <v>0.0014</v>
      </c>
      <c r="G88" s="4">
        <v>0</v>
      </c>
      <c r="H88" s="4">
        <v>0.0014</v>
      </c>
      <c r="I88" s="4">
        <v>0.001</v>
      </c>
      <c r="J88" s="4">
        <v>0.0005</v>
      </c>
      <c r="K88" s="4">
        <v>0</v>
      </c>
      <c r="L88" s="4">
        <v>0</v>
      </c>
      <c r="M88" s="4">
        <v>0</v>
      </c>
      <c r="N88" s="4">
        <v>0.001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37">
        <f t="shared" si="3"/>
        <v>99.99</v>
      </c>
      <c r="U88" s="35">
        <v>345</v>
      </c>
      <c r="V88" s="4">
        <v>25</v>
      </c>
      <c r="W88" s="4">
        <v>0</v>
      </c>
      <c r="X88" s="4" t="s">
        <v>53</v>
      </c>
      <c r="Y88" s="4" t="s">
        <v>50</v>
      </c>
      <c r="Z88" s="4" t="s">
        <v>37</v>
      </c>
      <c r="AA88" s="4" t="s">
        <v>37</v>
      </c>
      <c r="AB88" s="4" t="s">
        <v>37</v>
      </c>
      <c r="AC88" s="4" t="s">
        <v>53</v>
      </c>
      <c r="AD88" s="37" t="s">
        <v>57</v>
      </c>
      <c r="AE88" s="35">
        <v>10</v>
      </c>
      <c r="AF88" s="4">
        <v>45</v>
      </c>
      <c r="AG88" s="39">
        <v>50</v>
      </c>
      <c r="AH88" s="40" t="s">
        <v>54</v>
      </c>
    </row>
    <row r="89" ht="13.9" spans="1:34">
      <c r="A89" s="6">
        <v>1350</v>
      </c>
      <c r="B89" s="7">
        <v>0.04</v>
      </c>
      <c r="C89" s="6">
        <v>0.15</v>
      </c>
      <c r="D89" s="6">
        <v>0.02</v>
      </c>
      <c r="E89" s="6">
        <v>0.005</v>
      </c>
      <c r="F89" s="6">
        <v>0</v>
      </c>
      <c r="G89" s="6">
        <v>0.005</v>
      </c>
      <c r="H89" s="6">
        <v>0.025</v>
      </c>
      <c r="I89" s="6">
        <v>0.01</v>
      </c>
      <c r="J89" s="6">
        <v>0.01</v>
      </c>
      <c r="K89" s="6">
        <v>0</v>
      </c>
      <c r="L89" s="6">
        <v>0</v>
      </c>
      <c r="M89" s="6">
        <v>0</v>
      </c>
      <c r="N89" s="6">
        <v>0.015</v>
      </c>
      <c r="O89" s="6">
        <v>0</v>
      </c>
      <c r="P89" s="6">
        <v>0</v>
      </c>
      <c r="Q89" s="6">
        <v>0.02</v>
      </c>
      <c r="R89" s="6">
        <v>0</v>
      </c>
      <c r="S89" s="6">
        <v>0</v>
      </c>
      <c r="T89" s="8">
        <f t="shared" si="3"/>
        <v>99.7</v>
      </c>
      <c r="U89" s="7">
        <v>25</v>
      </c>
      <c r="V89" s="6">
        <v>25</v>
      </c>
      <c r="W89" s="6">
        <v>0</v>
      </c>
      <c r="X89" s="6" t="s">
        <v>34</v>
      </c>
      <c r="Y89" s="6" t="s">
        <v>35</v>
      </c>
      <c r="Z89" s="6" t="s">
        <v>55</v>
      </c>
      <c r="AA89" s="6" t="s">
        <v>37</v>
      </c>
      <c r="AB89" s="6" t="s">
        <v>37</v>
      </c>
      <c r="AC89" s="6" t="s">
        <v>69</v>
      </c>
      <c r="AD89" s="26" t="s">
        <v>56</v>
      </c>
      <c r="AE89" s="7" t="s">
        <v>40</v>
      </c>
      <c r="AF89" s="6">
        <v>132.5</v>
      </c>
      <c r="AG89" s="10" t="s">
        <v>40</v>
      </c>
      <c r="AH89" s="31" t="s">
        <v>54</v>
      </c>
    </row>
    <row r="90" ht="13.9" spans="1:34">
      <c r="A90" s="6">
        <v>1350</v>
      </c>
      <c r="B90" s="7">
        <v>0.04</v>
      </c>
      <c r="C90" s="6">
        <v>0.15</v>
      </c>
      <c r="D90" s="6">
        <v>0.02</v>
      </c>
      <c r="E90" s="6">
        <v>0.005</v>
      </c>
      <c r="F90" s="6">
        <v>0</v>
      </c>
      <c r="G90" s="6">
        <v>0.005</v>
      </c>
      <c r="H90" s="6">
        <v>0.025</v>
      </c>
      <c r="I90" s="6">
        <v>0.01</v>
      </c>
      <c r="J90" s="6">
        <v>0.01</v>
      </c>
      <c r="K90" s="6">
        <v>0</v>
      </c>
      <c r="L90" s="6">
        <v>0</v>
      </c>
      <c r="M90" s="6">
        <v>0</v>
      </c>
      <c r="N90" s="6">
        <v>0.015</v>
      </c>
      <c r="O90" s="6">
        <v>0</v>
      </c>
      <c r="P90" s="6">
        <v>0</v>
      </c>
      <c r="Q90" s="6">
        <v>0.02</v>
      </c>
      <c r="R90" s="6">
        <v>0</v>
      </c>
      <c r="S90" s="6">
        <v>0</v>
      </c>
      <c r="T90" s="8">
        <f t="shared" si="3"/>
        <v>99.7</v>
      </c>
      <c r="U90" s="7">
        <v>25</v>
      </c>
      <c r="V90" s="6">
        <v>25</v>
      </c>
      <c r="W90" s="6">
        <v>0</v>
      </c>
      <c r="X90" s="6" t="s">
        <v>34</v>
      </c>
      <c r="Y90" s="6" t="s">
        <v>35</v>
      </c>
      <c r="Z90" s="6" t="s">
        <v>55</v>
      </c>
      <c r="AA90" s="6" t="s">
        <v>37</v>
      </c>
      <c r="AB90" s="6" t="s">
        <v>61</v>
      </c>
      <c r="AC90" s="6" t="s">
        <v>69</v>
      </c>
      <c r="AD90" s="26" t="s">
        <v>71</v>
      </c>
      <c r="AE90" s="7" t="s">
        <v>40</v>
      </c>
      <c r="AF90" s="6">
        <v>132.5</v>
      </c>
      <c r="AG90" s="10" t="s">
        <v>40</v>
      </c>
      <c r="AH90" s="31" t="s">
        <v>54</v>
      </c>
    </row>
    <row r="91" ht="13.9" spans="1:34">
      <c r="A91" s="6">
        <v>1350</v>
      </c>
      <c r="B91" s="7">
        <v>0.04</v>
      </c>
      <c r="C91" s="6">
        <v>0.15</v>
      </c>
      <c r="D91" s="6">
        <v>0.02</v>
      </c>
      <c r="E91" s="6">
        <v>0.005</v>
      </c>
      <c r="F91" s="6">
        <v>0</v>
      </c>
      <c r="G91" s="6">
        <v>0.005</v>
      </c>
      <c r="H91" s="6">
        <v>0.025</v>
      </c>
      <c r="I91" s="6">
        <v>0.01</v>
      </c>
      <c r="J91" s="6">
        <v>0.01</v>
      </c>
      <c r="K91" s="6">
        <v>0</v>
      </c>
      <c r="L91" s="6">
        <v>0</v>
      </c>
      <c r="M91" s="6">
        <v>0</v>
      </c>
      <c r="N91" s="6">
        <v>0.015</v>
      </c>
      <c r="O91" s="6">
        <v>0</v>
      </c>
      <c r="P91" s="6">
        <v>0</v>
      </c>
      <c r="Q91" s="6">
        <v>0.02</v>
      </c>
      <c r="R91" s="6">
        <v>0</v>
      </c>
      <c r="S91" s="6">
        <v>0</v>
      </c>
      <c r="T91" s="8">
        <v>99.7</v>
      </c>
      <c r="U91" s="7">
        <v>25</v>
      </c>
      <c r="V91" s="6">
        <v>25</v>
      </c>
      <c r="W91" s="6">
        <v>0</v>
      </c>
      <c r="X91" s="6" t="s">
        <v>34</v>
      </c>
      <c r="Y91" s="6" t="s">
        <v>35</v>
      </c>
      <c r="Z91" s="6" t="s">
        <v>55</v>
      </c>
      <c r="AA91" s="6" t="s">
        <v>37</v>
      </c>
      <c r="AB91" s="6" t="s">
        <v>61</v>
      </c>
      <c r="AC91" s="6" t="s">
        <v>38</v>
      </c>
      <c r="AD91" s="26" t="s">
        <v>71</v>
      </c>
      <c r="AE91" s="7" t="s">
        <v>40</v>
      </c>
      <c r="AF91" s="6">
        <v>132.5</v>
      </c>
      <c r="AG91" s="10" t="s">
        <v>40</v>
      </c>
      <c r="AH91" s="31" t="s">
        <v>54</v>
      </c>
    </row>
    <row r="92" ht="13.9" spans="1:34">
      <c r="A92" s="6">
        <v>1350</v>
      </c>
      <c r="B92" s="7">
        <v>0.04</v>
      </c>
      <c r="C92" s="6">
        <v>0.15</v>
      </c>
      <c r="D92" s="6">
        <v>0.02</v>
      </c>
      <c r="E92" s="6">
        <v>0.005</v>
      </c>
      <c r="F92" s="6">
        <v>0</v>
      </c>
      <c r="G92" s="6">
        <v>0.005</v>
      </c>
      <c r="H92" s="6">
        <v>0.025</v>
      </c>
      <c r="I92" s="6">
        <v>0.01</v>
      </c>
      <c r="J92" s="6">
        <v>0.01</v>
      </c>
      <c r="K92" s="6">
        <v>0</v>
      </c>
      <c r="L92" s="6">
        <v>0</v>
      </c>
      <c r="M92" s="6">
        <v>0</v>
      </c>
      <c r="N92" s="6">
        <v>0.015</v>
      </c>
      <c r="O92" s="6">
        <v>0</v>
      </c>
      <c r="P92" s="6">
        <v>0</v>
      </c>
      <c r="Q92" s="6">
        <v>0.02</v>
      </c>
      <c r="R92" s="6">
        <v>0</v>
      </c>
      <c r="S92" s="6">
        <v>0</v>
      </c>
      <c r="T92" s="8">
        <f t="shared" ref="T92:T98" si="4">100-SUM(B92:S92)</f>
        <v>99.7</v>
      </c>
      <c r="U92" s="7">
        <v>25</v>
      </c>
      <c r="V92" s="6">
        <v>25</v>
      </c>
      <c r="W92" s="6">
        <v>0</v>
      </c>
      <c r="X92" s="6" t="s">
        <v>34</v>
      </c>
      <c r="Y92" s="6" t="s">
        <v>35</v>
      </c>
      <c r="Z92" s="6" t="s">
        <v>55</v>
      </c>
      <c r="AA92" s="6" t="s">
        <v>37</v>
      </c>
      <c r="AB92" s="6" t="s">
        <v>37</v>
      </c>
      <c r="AC92" s="6" t="s">
        <v>38</v>
      </c>
      <c r="AD92" s="26" t="s">
        <v>56</v>
      </c>
      <c r="AE92" s="7">
        <v>110</v>
      </c>
      <c r="AF92" s="6">
        <v>128</v>
      </c>
      <c r="AG92" s="10" t="s">
        <v>40</v>
      </c>
      <c r="AH92" s="31" t="s">
        <v>54</v>
      </c>
    </row>
    <row r="93" ht="13.9" spans="1:34">
      <c r="A93" s="6">
        <v>1350</v>
      </c>
      <c r="B93" s="7">
        <v>0.04</v>
      </c>
      <c r="C93" s="6">
        <v>0.15</v>
      </c>
      <c r="D93" s="6">
        <v>0.02</v>
      </c>
      <c r="E93" s="6">
        <v>0.005</v>
      </c>
      <c r="F93" s="6">
        <v>0</v>
      </c>
      <c r="G93" s="6">
        <v>0.005</v>
      </c>
      <c r="H93" s="6">
        <v>0.025</v>
      </c>
      <c r="I93" s="6">
        <v>0.01</v>
      </c>
      <c r="J93" s="6">
        <v>0.01</v>
      </c>
      <c r="K93" s="6">
        <v>0</v>
      </c>
      <c r="L93" s="6">
        <v>0</v>
      </c>
      <c r="M93" s="6">
        <v>0</v>
      </c>
      <c r="N93" s="6">
        <v>0.015</v>
      </c>
      <c r="O93" s="6">
        <v>0</v>
      </c>
      <c r="P93" s="6">
        <v>0</v>
      </c>
      <c r="Q93" s="6">
        <v>0.02</v>
      </c>
      <c r="R93" s="6">
        <v>0</v>
      </c>
      <c r="S93" s="6">
        <v>0</v>
      </c>
      <c r="T93" s="8">
        <f t="shared" si="4"/>
        <v>99.7</v>
      </c>
      <c r="U93" s="7">
        <v>25</v>
      </c>
      <c r="V93" s="6">
        <v>25</v>
      </c>
      <c r="W93" s="6">
        <v>0</v>
      </c>
      <c r="X93" s="6" t="s">
        <v>42</v>
      </c>
      <c r="Y93" s="6" t="s">
        <v>35</v>
      </c>
      <c r="Z93" s="6" t="s">
        <v>55</v>
      </c>
      <c r="AA93" s="6" t="s">
        <v>37</v>
      </c>
      <c r="AB93" s="6" t="s">
        <v>37</v>
      </c>
      <c r="AC93" s="6" t="s">
        <v>59</v>
      </c>
      <c r="AD93" s="26" t="s">
        <v>56</v>
      </c>
      <c r="AE93" s="7" t="s">
        <v>40</v>
      </c>
      <c r="AF93" s="6">
        <v>127.5</v>
      </c>
      <c r="AG93" s="10">
        <v>2.5</v>
      </c>
      <c r="AH93" s="31" t="s">
        <v>54</v>
      </c>
    </row>
    <row r="94" ht="13.9" spans="1:34">
      <c r="A94" s="6">
        <v>1350</v>
      </c>
      <c r="B94" s="7">
        <v>0.04</v>
      </c>
      <c r="C94" s="6">
        <v>0.15</v>
      </c>
      <c r="D94" s="6">
        <v>0.02</v>
      </c>
      <c r="E94" s="6">
        <v>0.005</v>
      </c>
      <c r="F94" s="6">
        <v>0</v>
      </c>
      <c r="G94" s="6">
        <v>0.005</v>
      </c>
      <c r="H94" s="6">
        <v>0.025</v>
      </c>
      <c r="I94" s="6">
        <v>0.01</v>
      </c>
      <c r="J94" s="6">
        <v>0.01</v>
      </c>
      <c r="K94" s="6">
        <v>0</v>
      </c>
      <c r="L94" s="6">
        <v>0</v>
      </c>
      <c r="M94" s="6">
        <v>0</v>
      </c>
      <c r="N94" s="6">
        <v>0.015</v>
      </c>
      <c r="O94" s="6">
        <v>0</v>
      </c>
      <c r="P94" s="6">
        <v>0</v>
      </c>
      <c r="Q94" s="6">
        <v>0.02</v>
      </c>
      <c r="R94" s="6">
        <v>0</v>
      </c>
      <c r="S94" s="6">
        <v>0</v>
      </c>
      <c r="T94" s="8">
        <f t="shared" si="4"/>
        <v>99.7</v>
      </c>
      <c r="U94" s="7">
        <v>25</v>
      </c>
      <c r="V94" s="6">
        <v>25</v>
      </c>
      <c r="W94" s="6">
        <v>0</v>
      </c>
      <c r="X94" s="6" t="s">
        <v>42</v>
      </c>
      <c r="Y94" s="6" t="s">
        <v>35</v>
      </c>
      <c r="Z94" s="6" t="s">
        <v>55</v>
      </c>
      <c r="AA94" s="6" t="s">
        <v>37</v>
      </c>
      <c r="AB94" s="6" t="s">
        <v>37</v>
      </c>
      <c r="AC94" s="6" t="s">
        <v>43</v>
      </c>
      <c r="AD94" s="26" t="s">
        <v>56</v>
      </c>
      <c r="AE94" s="7" t="s">
        <v>40</v>
      </c>
      <c r="AF94" s="6">
        <v>127.5</v>
      </c>
      <c r="AG94" s="10">
        <v>2.5</v>
      </c>
      <c r="AH94" s="31" t="s">
        <v>54</v>
      </c>
    </row>
    <row r="95" ht="13.9" spans="1:34">
      <c r="A95" s="6">
        <v>1350</v>
      </c>
      <c r="B95" s="7">
        <v>0.04</v>
      </c>
      <c r="C95" s="6">
        <v>0.15</v>
      </c>
      <c r="D95" s="6">
        <v>0.02</v>
      </c>
      <c r="E95" s="6">
        <v>0.005</v>
      </c>
      <c r="F95" s="6">
        <v>0</v>
      </c>
      <c r="G95" s="6">
        <v>0.005</v>
      </c>
      <c r="H95" s="6">
        <v>0.025</v>
      </c>
      <c r="I95" s="6">
        <v>0.01</v>
      </c>
      <c r="J95" s="6">
        <v>0.01</v>
      </c>
      <c r="K95" s="6">
        <v>0</v>
      </c>
      <c r="L95" s="6">
        <v>0</v>
      </c>
      <c r="M95" s="6">
        <v>0</v>
      </c>
      <c r="N95" s="6">
        <v>0.015</v>
      </c>
      <c r="O95" s="6">
        <v>0</v>
      </c>
      <c r="P95" s="6">
        <v>0</v>
      </c>
      <c r="Q95" s="6">
        <v>0.02</v>
      </c>
      <c r="R95" s="6">
        <v>0</v>
      </c>
      <c r="S95" s="6">
        <v>0</v>
      </c>
      <c r="T95" s="8">
        <f t="shared" si="4"/>
        <v>99.7</v>
      </c>
      <c r="U95" s="7">
        <v>25</v>
      </c>
      <c r="V95" s="6">
        <v>25</v>
      </c>
      <c r="W95" s="6">
        <v>0</v>
      </c>
      <c r="X95" s="6" t="s">
        <v>42</v>
      </c>
      <c r="Y95" s="6" t="s">
        <v>35</v>
      </c>
      <c r="Z95" s="6" t="s">
        <v>36</v>
      </c>
      <c r="AA95" s="6" t="s">
        <v>37</v>
      </c>
      <c r="AB95" s="6" t="s">
        <v>37</v>
      </c>
      <c r="AC95" s="6" t="s">
        <v>59</v>
      </c>
      <c r="AD95" s="26" t="s">
        <v>39</v>
      </c>
      <c r="AE95" s="7" t="s">
        <v>40</v>
      </c>
      <c r="AF95" s="6">
        <v>125</v>
      </c>
      <c r="AG95" s="10">
        <v>2.5</v>
      </c>
      <c r="AH95" s="31" t="s">
        <v>54</v>
      </c>
    </row>
    <row r="96" ht="13.9" spans="1:34">
      <c r="A96" s="6">
        <v>1350</v>
      </c>
      <c r="B96" s="7">
        <v>0.04</v>
      </c>
      <c r="C96" s="6">
        <v>0.15</v>
      </c>
      <c r="D96" s="6">
        <v>0.02</v>
      </c>
      <c r="E96" s="6">
        <v>0.005</v>
      </c>
      <c r="F96" s="6">
        <v>0</v>
      </c>
      <c r="G96" s="6">
        <v>0.005</v>
      </c>
      <c r="H96" s="6">
        <v>0.025</v>
      </c>
      <c r="I96" s="6">
        <v>0.01</v>
      </c>
      <c r="J96" s="6">
        <v>0.01</v>
      </c>
      <c r="K96" s="6">
        <v>0</v>
      </c>
      <c r="L96" s="6">
        <v>0</v>
      </c>
      <c r="M96" s="6">
        <v>0</v>
      </c>
      <c r="N96" s="6">
        <v>0.015</v>
      </c>
      <c r="O96" s="6">
        <v>0</v>
      </c>
      <c r="P96" s="6">
        <v>0</v>
      </c>
      <c r="Q96" s="6">
        <v>0.02</v>
      </c>
      <c r="R96" s="6">
        <v>0</v>
      </c>
      <c r="S96" s="6">
        <v>0</v>
      </c>
      <c r="T96" s="8">
        <f t="shared" si="4"/>
        <v>99.7</v>
      </c>
      <c r="U96" s="7">
        <v>25</v>
      </c>
      <c r="V96" s="6">
        <v>25</v>
      </c>
      <c r="W96" s="6">
        <v>0</v>
      </c>
      <c r="X96" s="6" t="s">
        <v>42</v>
      </c>
      <c r="Y96" s="6" t="s">
        <v>35</v>
      </c>
      <c r="Z96" s="6" t="s">
        <v>36</v>
      </c>
      <c r="AA96" s="6" t="s">
        <v>37</v>
      </c>
      <c r="AB96" s="6" t="s">
        <v>37</v>
      </c>
      <c r="AC96" s="6" t="s">
        <v>43</v>
      </c>
      <c r="AD96" s="26" t="s">
        <v>39</v>
      </c>
      <c r="AE96" s="7" t="s">
        <v>40</v>
      </c>
      <c r="AF96" s="6">
        <v>125</v>
      </c>
      <c r="AG96" s="10">
        <v>2.5</v>
      </c>
      <c r="AH96" s="31" t="s">
        <v>54</v>
      </c>
    </row>
    <row r="97" ht="13.9" spans="1:34">
      <c r="A97" s="6">
        <v>1350</v>
      </c>
      <c r="B97" s="7">
        <v>0.04</v>
      </c>
      <c r="C97" s="6">
        <v>0.15</v>
      </c>
      <c r="D97" s="6">
        <v>0.02</v>
      </c>
      <c r="E97" s="6">
        <v>0.005</v>
      </c>
      <c r="F97" s="6">
        <v>0</v>
      </c>
      <c r="G97" s="6">
        <v>0.005</v>
      </c>
      <c r="H97" s="6">
        <v>0.025</v>
      </c>
      <c r="I97" s="6">
        <v>0.01</v>
      </c>
      <c r="J97" s="6">
        <v>0.01</v>
      </c>
      <c r="K97" s="6">
        <v>0</v>
      </c>
      <c r="L97" s="6">
        <v>0</v>
      </c>
      <c r="M97" s="6">
        <v>0</v>
      </c>
      <c r="N97" s="6">
        <v>0.015</v>
      </c>
      <c r="O97" s="6">
        <v>0</v>
      </c>
      <c r="P97" s="6">
        <v>0</v>
      </c>
      <c r="Q97" s="6">
        <v>0.02</v>
      </c>
      <c r="R97" s="6">
        <v>0</v>
      </c>
      <c r="S97" s="6">
        <v>0</v>
      </c>
      <c r="T97" s="8">
        <f t="shared" si="4"/>
        <v>99.7</v>
      </c>
      <c r="U97" s="7">
        <v>25</v>
      </c>
      <c r="V97" s="6">
        <v>25</v>
      </c>
      <c r="W97" s="6">
        <v>0</v>
      </c>
      <c r="X97" s="6" t="s">
        <v>34</v>
      </c>
      <c r="Y97" s="6" t="s">
        <v>35</v>
      </c>
      <c r="Z97" s="6" t="s">
        <v>46</v>
      </c>
      <c r="AA97" s="6" t="s">
        <v>37</v>
      </c>
      <c r="AB97" s="6" t="s">
        <v>37</v>
      </c>
      <c r="AC97" s="6" t="s">
        <v>69</v>
      </c>
      <c r="AD97" s="26" t="s">
        <v>47</v>
      </c>
      <c r="AE97" s="7" t="s">
        <v>40</v>
      </c>
      <c r="AF97" s="6">
        <v>122.5</v>
      </c>
      <c r="AG97" s="10" t="s">
        <v>40</v>
      </c>
      <c r="AH97" s="31" t="s">
        <v>54</v>
      </c>
    </row>
    <row r="98" ht="13.9" spans="1:34">
      <c r="A98" s="6">
        <v>1350</v>
      </c>
      <c r="B98" s="7">
        <v>0.04</v>
      </c>
      <c r="C98" s="6">
        <v>0.15</v>
      </c>
      <c r="D98" s="6">
        <v>0.02</v>
      </c>
      <c r="E98" s="6">
        <v>0.005</v>
      </c>
      <c r="F98" s="6">
        <v>0</v>
      </c>
      <c r="G98" s="6">
        <v>0.005</v>
      </c>
      <c r="H98" s="6">
        <v>0.025</v>
      </c>
      <c r="I98" s="6">
        <v>0.01</v>
      </c>
      <c r="J98" s="6">
        <v>0.01</v>
      </c>
      <c r="K98" s="6">
        <v>0</v>
      </c>
      <c r="L98" s="6">
        <v>0</v>
      </c>
      <c r="M98" s="6">
        <v>0</v>
      </c>
      <c r="N98" s="6">
        <v>0.015</v>
      </c>
      <c r="O98" s="6">
        <v>0</v>
      </c>
      <c r="P98" s="6">
        <v>0</v>
      </c>
      <c r="Q98" s="6">
        <v>0.02</v>
      </c>
      <c r="R98" s="6">
        <v>0</v>
      </c>
      <c r="S98" s="6">
        <v>0</v>
      </c>
      <c r="T98" s="8">
        <f t="shared" si="4"/>
        <v>99.7</v>
      </c>
      <c r="U98" s="7">
        <v>25</v>
      </c>
      <c r="V98" s="6">
        <v>25</v>
      </c>
      <c r="W98" s="6">
        <v>0</v>
      </c>
      <c r="X98" s="6" t="s">
        <v>34</v>
      </c>
      <c r="Y98" s="6" t="s">
        <v>35</v>
      </c>
      <c r="Z98" s="6" t="s">
        <v>46</v>
      </c>
      <c r="AA98" s="6" t="s">
        <v>37</v>
      </c>
      <c r="AB98" s="6" t="s">
        <v>61</v>
      </c>
      <c r="AC98" s="6" t="s">
        <v>69</v>
      </c>
      <c r="AD98" s="26" t="s">
        <v>62</v>
      </c>
      <c r="AE98" s="7" t="s">
        <v>40</v>
      </c>
      <c r="AF98" s="6">
        <v>122.5</v>
      </c>
      <c r="AG98" s="10" t="s">
        <v>40</v>
      </c>
      <c r="AH98" s="31" t="s">
        <v>54</v>
      </c>
    </row>
    <row r="99" ht="13.9" spans="1:34">
      <c r="A99" s="6">
        <v>1350</v>
      </c>
      <c r="B99" s="7">
        <v>0.04</v>
      </c>
      <c r="C99" s="6">
        <v>0.15</v>
      </c>
      <c r="D99" s="6">
        <v>0.02</v>
      </c>
      <c r="E99" s="6">
        <v>0.005</v>
      </c>
      <c r="F99" s="6">
        <v>0</v>
      </c>
      <c r="G99" s="6">
        <v>0.005</v>
      </c>
      <c r="H99" s="6">
        <v>0.025</v>
      </c>
      <c r="I99" s="6">
        <v>0.01</v>
      </c>
      <c r="J99" s="6">
        <v>0.01</v>
      </c>
      <c r="K99" s="6">
        <v>0</v>
      </c>
      <c r="L99" s="6">
        <v>0</v>
      </c>
      <c r="M99" s="6">
        <v>0</v>
      </c>
      <c r="N99" s="6">
        <v>0.015</v>
      </c>
      <c r="O99" s="6">
        <v>0</v>
      </c>
      <c r="P99" s="6">
        <v>0</v>
      </c>
      <c r="Q99" s="6">
        <v>0.02</v>
      </c>
      <c r="R99" s="6">
        <v>0</v>
      </c>
      <c r="S99" s="6">
        <v>0</v>
      </c>
      <c r="T99" s="8">
        <v>99.7</v>
      </c>
      <c r="U99" s="7">
        <v>25</v>
      </c>
      <c r="V99" s="6">
        <v>25</v>
      </c>
      <c r="W99" s="6">
        <v>0</v>
      </c>
      <c r="X99" s="6" t="s">
        <v>34</v>
      </c>
      <c r="Y99" s="6" t="s">
        <v>35</v>
      </c>
      <c r="Z99" s="6" t="s">
        <v>46</v>
      </c>
      <c r="AA99" s="6" t="s">
        <v>37</v>
      </c>
      <c r="AB99" s="6" t="s">
        <v>61</v>
      </c>
      <c r="AC99" s="6" t="s">
        <v>38</v>
      </c>
      <c r="AD99" s="26" t="s">
        <v>62</v>
      </c>
      <c r="AE99" s="7" t="s">
        <v>40</v>
      </c>
      <c r="AF99" s="6">
        <v>122.5</v>
      </c>
      <c r="AG99" s="10" t="s">
        <v>40</v>
      </c>
      <c r="AH99" s="31" t="s">
        <v>54</v>
      </c>
    </row>
    <row r="100" ht="13.9" spans="1:34">
      <c r="A100" s="6">
        <v>1350</v>
      </c>
      <c r="B100" s="7">
        <v>0.04</v>
      </c>
      <c r="C100" s="6">
        <v>0.15</v>
      </c>
      <c r="D100" s="6">
        <v>0.02</v>
      </c>
      <c r="E100" s="6">
        <v>0.005</v>
      </c>
      <c r="F100" s="6">
        <v>0</v>
      </c>
      <c r="G100" s="6">
        <v>0.005</v>
      </c>
      <c r="H100" s="6">
        <v>0.025</v>
      </c>
      <c r="I100" s="6">
        <v>0.01</v>
      </c>
      <c r="J100" s="6">
        <v>0.01</v>
      </c>
      <c r="K100" s="6">
        <v>0</v>
      </c>
      <c r="L100" s="6">
        <v>0</v>
      </c>
      <c r="M100" s="6">
        <v>0</v>
      </c>
      <c r="N100" s="6">
        <v>0.015</v>
      </c>
      <c r="O100" s="6">
        <v>0</v>
      </c>
      <c r="P100" s="6">
        <v>0</v>
      </c>
      <c r="Q100" s="6">
        <v>0.02</v>
      </c>
      <c r="R100" s="6">
        <v>0</v>
      </c>
      <c r="S100" s="6">
        <v>0</v>
      </c>
      <c r="T100" s="8">
        <f t="shared" ref="T100:T106" si="5">100-SUM(B100:S100)</f>
        <v>99.7</v>
      </c>
      <c r="U100" s="7">
        <v>25</v>
      </c>
      <c r="V100" s="6">
        <v>25</v>
      </c>
      <c r="W100" s="6">
        <v>0</v>
      </c>
      <c r="X100" s="6" t="s">
        <v>34</v>
      </c>
      <c r="Y100" s="6" t="s">
        <v>35</v>
      </c>
      <c r="Z100" s="6" t="s">
        <v>46</v>
      </c>
      <c r="AA100" s="6" t="s">
        <v>37</v>
      </c>
      <c r="AB100" s="6" t="s">
        <v>37</v>
      </c>
      <c r="AC100" s="6" t="s">
        <v>38</v>
      </c>
      <c r="AD100" s="26" t="s">
        <v>47</v>
      </c>
      <c r="AE100" s="7">
        <v>97</v>
      </c>
      <c r="AF100" s="6">
        <v>116</v>
      </c>
      <c r="AG100" s="10" t="s">
        <v>40</v>
      </c>
      <c r="AH100" s="31" t="s">
        <v>54</v>
      </c>
    </row>
    <row r="101" ht="13.9" spans="1:34">
      <c r="A101" s="6">
        <v>1350</v>
      </c>
      <c r="B101" s="7">
        <v>0.04</v>
      </c>
      <c r="C101" s="6">
        <v>0.15</v>
      </c>
      <c r="D101" s="6">
        <v>0.02</v>
      </c>
      <c r="E101" s="6">
        <v>0.005</v>
      </c>
      <c r="F101" s="6">
        <v>0</v>
      </c>
      <c r="G101" s="6">
        <v>0.005</v>
      </c>
      <c r="H101" s="6">
        <v>0.025</v>
      </c>
      <c r="I101" s="6">
        <v>0.01</v>
      </c>
      <c r="J101" s="6">
        <v>0.01</v>
      </c>
      <c r="K101" s="6">
        <v>0</v>
      </c>
      <c r="L101" s="6">
        <v>0</v>
      </c>
      <c r="M101" s="6">
        <v>0</v>
      </c>
      <c r="N101" s="6">
        <v>0.015</v>
      </c>
      <c r="O101" s="6">
        <v>0</v>
      </c>
      <c r="P101" s="6">
        <v>0</v>
      </c>
      <c r="Q101" s="6">
        <v>0.02</v>
      </c>
      <c r="R101" s="6">
        <v>0</v>
      </c>
      <c r="S101" s="6">
        <v>0</v>
      </c>
      <c r="T101" s="8">
        <f t="shared" si="5"/>
        <v>99.7</v>
      </c>
      <c r="U101" s="7">
        <v>25</v>
      </c>
      <c r="V101" s="6">
        <v>25</v>
      </c>
      <c r="W101" s="6">
        <v>0</v>
      </c>
      <c r="X101" s="6" t="s">
        <v>42</v>
      </c>
      <c r="Y101" s="6" t="s">
        <v>35</v>
      </c>
      <c r="Z101" s="6" t="s">
        <v>46</v>
      </c>
      <c r="AA101" s="6" t="s">
        <v>37</v>
      </c>
      <c r="AB101" s="6" t="s">
        <v>37</v>
      </c>
      <c r="AC101" s="6" t="s">
        <v>59</v>
      </c>
      <c r="AD101" s="26" t="s">
        <v>47</v>
      </c>
      <c r="AE101" s="7" t="s">
        <v>40</v>
      </c>
      <c r="AF101" s="6">
        <v>112.5</v>
      </c>
      <c r="AG101" s="10">
        <v>5.5</v>
      </c>
      <c r="AH101" s="31" t="s">
        <v>54</v>
      </c>
    </row>
    <row r="102" ht="13.9" spans="1:34">
      <c r="A102" s="6">
        <v>1350</v>
      </c>
      <c r="B102" s="7">
        <v>0.04</v>
      </c>
      <c r="C102" s="6">
        <v>0.15</v>
      </c>
      <c r="D102" s="6">
        <v>0.02</v>
      </c>
      <c r="E102" s="6">
        <v>0.005</v>
      </c>
      <c r="F102" s="6">
        <v>0</v>
      </c>
      <c r="G102" s="6">
        <v>0.005</v>
      </c>
      <c r="H102" s="6">
        <v>0.025</v>
      </c>
      <c r="I102" s="6">
        <v>0.01</v>
      </c>
      <c r="J102" s="6">
        <v>0.01</v>
      </c>
      <c r="K102" s="6">
        <v>0</v>
      </c>
      <c r="L102" s="6">
        <v>0</v>
      </c>
      <c r="M102" s="6">
        <v>0</v>
      </c>
      <c r="N102" s="6">
        <v>0.015</v>
      </c>
      <c r="O102" s="6">
        <v>0</v>
      </c>
      <c r="P102" s="6">
        <v>0</v>
      </c>
      <c r="Q102" s="6">
        <v>0.02</v>
      </c>
      <c r="R102" s="6">
        <v>0</v>
      </c>
      <c r="S102" s="6">
        <v>0</v>
      </c>
      <c r="T102" s="8">
        <f t="shared" si="5"/>
        <v>99.7</v>
      </c>
      <c r="U102" s="7">
        <v>25</v>
      </c>
      <c r="V102" s="6">
        <v>25</v>
      </c>
      <c r="W102" s="6">
        <v>0</v>
      </c>
      <c r="X102" s="6" t="s">
        <v>42</v>
      </c>
      <c r="Y102" s="6" t="s">
        <v>35</v>
      </c>
      <c r="Z102" s="6" t="s">
        <v>46</v>
      </c>
      <c r="AA102" s="6" t="s">
        <v>37</v>
      </c>
      <c r="AB102" s="6" t="s">
        <v>37</v>
      </c>
      <c r="AC102" s="6" t="s">
        <v>43</v>
      </c>
      <c r="AD102" s="26" t="s">
        <v>47</v>
      </c>
      <c r="AE102" s="7" t="s">
        <v>40</v>
      </c>
      <c r="AF102" s="6">
        <v>112.5</v>
      </c>
      <c r="AG102" s="10">
        <v>5.5</v>
      </c>
      <c r="AH102" s="31" t="s">
        <v>54</v>
      </c>
    </row>
    <row r="103" ht="13.9" spans="1:34">
      <c r="A103" s="6">
        <v>1350</v>
      </c>
      <c r="B103" s="7">
        <v>0.04</v>
      </c>
      <c r="C103" s="6">
        <v>0.15</v>
      </c>
      <c r="D103" s="6">
        <v>0.02</v>
      </c>
      <c r="E103" s="6">
        <v>0.005</v>
      </c>
      <c r="F103" s="6">
        <v>0</v>
      </c>
      <c r="G103" s="6">
        <v>0.005</v>
      </c>
      <c r="H103" s="6">
        <v>0.025</v>
      </c>
      <c r="I103" s="6">
        <v>0.01</v>
      </c>
      <c r="J103" s="6">
        <v>0.01</v>
      </c>
      <c r="K103" s="6">
        <v>0</v>
      </c>
      <c r="L103" s="6">
        <v>0</v>
      </c>
      <c r="M103" s="6">
        <v>0</v>
      </c>
      <c r="N103" s="6">
        <v>0.015</v>
      </c>
      <c r="O103" s="6">
        <v>0</v>
      </c>
      <c r="P103" s="6">
        <v>0</v>
      </c>
      <c r="Q103" s="6">
        <v>0.02</v>
      </c>
      <c r="R103" s="6">
        <v>0</v>
      </c>
      <c r="S103" s="6">
        <v>0</v>
      </c>
      <c r="T103" s="8">
        <f t="shared" si="5"/>
        <v>99.7</v>
      </c>
      <c r="U103" s="7">
        <v>25</v>
      </c>
      <c r="V103" s="6">
        <v>25</v>
      </c>
      <c r="W103" s="6">
        <v>0</v>
      </c>
      <c r="X103" s="6" t="s">
        <v>34</v>
      </c>
      <c r="Y103" s="6" t="s">
        <v>35</v>
      </c>
      <c r="Z103" s="6" t="s">
        <v>65</v>
      </c>
      <c r="AA103" s="6" t="s">
        <v>37</v>
      </c>
      <c r="AB103" s="6" t="s">
        <v>37</v>
      </c>
      <c r="AC103" s="6" t="s">
        <v>69</v>
      </c>
      <c r="AD103" s="26" t="s">
        <v>66</v>
      </c>
      <c r="AE103" s="7" t="s">
        <v>40</v>
      </c>
      <c r="AF103" s="6">
        <v>99</v>
      </c>
      <c r="AG103" s="10" t="s">
        <v>40</v>
      </c>
      <c r="AH103" s="31" t="s">
        <v>54</v>
      </c>
    </row>
    <row r="104" ht="13.9" spans="1:34">
      <c r="A104" s="6">
        <v>1350</v>
      </c>
      <c r="B104" s="7">
        <v>0.04</v>
      </c>
      <c r="C104" s="6">
        <v>0.15</v>
      </c>
      <c r="D104" s="6">
        <v>0.02</v>
      </c>
      <c r="E104" s="6">
        <v>0.005</v>
      </c>
      <c r="F104" s="6">
        <v>0</v>
      </c>
      <c r="G104" s="6">
        <v>0.005</v>
      </c>
      <c r="H104" s="6">
        <v>0.025</v>
      </c>
      <c r="I104" s="6">
        <v>0.01</v>
      </c>
      <c r="J104" s="6">
        <v>0.01</v>
      </c>
      <c r="K104" s="6">
        <v>0</v>
      </c>
      <c r="L104" s="6">
        <v>0</v>
      </c>
      <c r="M104" s="6">
        <v>0</v>
      </c>
      <c r="N104" s="6">
        <v>0.015</v>
      </c>
      <c r="O104" s="6">
        <v>0</v>
      </c>
      <c r="P104" s="6">
        <v>0</v>
      </c>
      <c r="Q104" s="6">
        <v>0.02</v>
      </c>
      <c r="R104" s="6">
        <v>0</v>
      </c>
      <c r="S104" s="6">
        <v>0</v>
      </c>
      <c r="T104" s="8">
        <f t="shared" si="5"/>
        <v>99.7</v>
      </c>
      <c r="U104" s="7">
        <v>25</v>
      </c>
      <c r="V104" s="6">
        <v>25</v>
      </c>
      <c r="W104" s="6">
        <v>0</v>
      </c>
      <c r="X104" s="6" t="s">
        <v>34</v>
      </c>
      <c r="Y104" s="6" t="s">
        <v>35</v>
      </c>
      <c r="Z104" s="6" t="s">
        <v>65</v>
      </c>
      <c r="AA104" s="6" t="s">
        <v>37</v>
      </c>
      <c r="AB104" s="6" t="s">
        <v>61</v>
      </c>
      <c r="AC104" s="6" t="s">
        <v>69</v>
      </c>
      <c r="AD104" s="26" t="s">
        <v>72</v>
      </c>
      <c r="AE104" s="7" t="s">
        <v>40</v>
      </c>
      <c r="AF104" s="6">
        <v>99</v>
      </c>
      <c r="AG104" s="10" t="s">
        <v>40</v>
      </c>
      <c r="AH104" s="31" t="s">
        <v>54</v>
      </c>
    </row>
    <row r="105" ht="13.9" spans="1:34">
      <c r="A105" s="6">
        <v>1350</v>
      </c>
      <c r="B105" s="7">
        <v>0.04</v>
      </c>
      <c r="C105" s="6">
        <v>0.15</v>
      </c>
      <c r="D105" s="6">
        <v>0.02</v>
      </c>
      <c r="E105" s="6">
        <v>0.005</v>
      </c>
      <c r="F105" s="6">
        <v>0</v>
      </c>
      <c r="G105" s="6">
        <v>0.005</v>
      </c>
      <c r="H105" s="6">
        <v>0.025</v>
      </c>
      <c r="I105" s="6">
        <v>0.01</v>
      </c>
      <c r="J105" s="6">
        <v>0.01</v>
      </c>
      <c r="K105" s="6">
        <v>0</v>
      </c>
      <c r="L105" s="6">
        <v>0</v>
      </c>
      <c r="M105" s="6">
        <v>0</v>
      </c>
      <c r="N105" s="6">
        <v>0.015</v>
      </c>
      <c r="O105" s="6">
        <v>0</v>
      </c>
      <c r="P105" s="6">
        <v>0</v>
      </c>
      <c r="Q105" s="6">
        <v>0.02</v>
      </c>
      <c r="R105" s="6">
        <v>0</v>
      </c>
      <c r="S105" s="6">
        <v>0</v>
      </c>
      <c r="T105" s="8">
        <f t="shared" si="5"/>
        <v>99.7</v>
      </c>
      <c r="U105" s="7">
        <v>25</v>
      </c>
      <c r="V105" s="6">
        <v>25</v>
      </c>
      <c r="W105" s="6">
        <v>0</v>
      </c>
      <c r="X105" s="6" t="s">
        <v>42</v>
      </c>
      <c r="Y105" s="6" t="s">
        <v>35</v>
      </c>
      <c r="Z105" s="6" t="s">
        <v>65</v>
      </c>
      <c r="AA105" s="6" t="s">
        <v>37</v>
      </c>
      <c r="AB105" s="6" t="s">
        <v>37</v>
      </c>
      <c r="AC105" s="6" t="s">
        <v>59</v>
      </c>
      <c r="AD105" s="26" t="s">
        <v>66</v>
      </c>
      <c r="AE105" s="7" t="s">
        <v>40</v>
      </c>
      <c r="AF105" s="6">
        <v>99</v>
      </c>
      <c r="AG105" s="10">
        <v>7.5</v>
      </c>
      <c r="AH105" s="31" t="s">
        <v>54</v>
      </c>
    </row>
    <row r="106" ht="13.9" spans="1:34">
      <c r="A106" s="6">
        <v>1350</v>
      </c>
      <c r="B106" s="7">
        <v>0.04</v>
      </c>
      <c r="C106" s="6">
        <v>0.15</v>
      </c>
      <c r="D106" s="6">
        <v>0.02</v>
      </c>
      <c r="E106" s="6">
        <v>0.005</v>
      </c>
      <c r="F106" s="6">
        <v>0</v>
      </c>
      <c r="G106" s="6">
        <v>0.005</v>
      </c>
      <c r="H106" s="6">
        <v>0.025</v>
      </c>
      <c r="I106" s="6">
        <v>0.01</v>
      </c>
      <c r="J106" s="6">
        <v>0.01</v>
      </c>
      <c r="K106" s="6">
        <v>0</v>
      </c>
      <c r="L106" s="6">
        <v>0</v>
      </c>
      <c r="M106" s="6">
        <v>0</v>
      </c>
      <c r="N106" s="6">
        <v>0.015</v>
      </c>
      <c r="O106" s="6">
        <v>0</v>
      </c>
      <c r="P106" s="6">
        <v>0</v>
      </c>
      <c r="Q106" s="6">
        <v>0.02</v>
      </c>
      <c r="R106" s="6">
        <v>0</v>
      </c>
      <c r="S106" s="6">
        <v>0</v>
      </c>
      <c r="T106" s="8">
        <f t="shared" si="5"/>
        <v>99.7</v>
      </c>
      <c r="U106" s="7">
        <v>25</v>
      </c>
      <c r="V106" s="6">
        <v>25</v>
      </c>
      <c r="W106" s="6">
        <v>0</v>
      </c>
      <c r="X106" s="6" t="s">
        <v>42</v>
      </c>
      <c r="Y106" s="6" t="s">
        <v>35</v>
      </c>
      <c r="Z106" s="6" t="s">
        <v>65</v>
      </c>
      <c r="AA106" s="6" t="s">
        <v>37</v>
      </c>
      <c r="AB106" s="6" t="s">
        <v>37</v>
      </c>
      <c r="AC106" s="6" t="s">
        <v>43</v>
      </c>
      <c r="AD106" s="26" t="s">
        <v>66</v>
      </c>
      <c r="AE106" s="7" t="s">
        <v>40</v>
      </c>
      <c r="AF106" s="6">
        <v>99</v>
      </c>
      <c r="AG106" s="10">
        <v>7.5</v>
      </c>
      <c r="AH106" s="31" t="s">
        <v>54</v>
      </c>
    </row>
    <row r="107" ht="13.9" spans="1:34">
      <c r="A107" s="6">
        <v>1350</v>
      </c>
      <c r="B107" s="7">
        <v>0.04</v>
      </c>
      <c r="C107" s="6">
        <v>0.15</v>
      </c>
      <c r="D107" s="6">
        <v>0.02</v>
      </c>
      <c r="E107" s="6">
        <v>0.005</v>
      </c>
      <c r="F107" s="6">
        <v>0</v>
      </c>
      <c r="G107" s="6">
        <v>0.005</v>
      </c>
      <c r="H107" s="6">
        <v>0.025</v>
      </c>
      <c r="I107" s="6">
        <v>0.01</v>
      </c>
      <c r="J107" s="6">
        <v>0.01</v>
      </c>
      <c r="K107" s="6">
        <v>0</v>
      </c>
      <c r="L107" s="6">
        <v>0</v>
      </c>
      <c r="M107" s="6">
        <v>0</v>
      </c>
      <c r="N107" s="6">
        <v>0.015</v>
      </c>
      <c r="O107" s="6">
        <v>0</v>
      </c>
      <c r="P107" s="6">
        <v>0</v>
      </c>
      <c r="Q107" s="6">
        <v>0.02</v>
      </c>
      <c r="R107" s="6">
        <v>0</v>
      </c>
      <c r="S107" s="6">
        <v>0</v>
      </c>
      <c r="T107" s="8">
        <v>99.7</v>
      </c>
      <c r="U107" s="7">
        <v>25</v>
      </c>
      <c r="V107" s="6">
        <v>25</v>
      </c>
      <c r="W107" s="6">
        <v>0</v>
      </c>
      <c r="X107" s="6" t="s">
        <v>34</v>
      </c>
      <c r="Y107" s="6" t="s">
        <v>35</v>
      </c>
      <c r="Z107" s="6" t="s">
        <v>65</v>
      </c>
      <c r="AA107" s="6" t="s">
        <v>37</v>
      </c>
      <c r="AB107" s="6" t="s">
        <v>61</v>
      </c>
      <c r="AC107" s="6" t="s">
        <v>38</v>
      </c>
      <c r="AD107" s="26" t="s">
        <v>72</v>
      </c>
      <c r="AE107" s="7" t="s">
        <v>40</v>
      </c>
      <c r="AF107" s="6">
        <v>99</v>
      </c>
      <c r="AG107" s="10" t="s">
        <v>40</v>
      </c>
      <c r="AH107" s="31" t="s">
        <v>54</v>
      </c>
    </row>
    <row r="108" ht="13.9" spans="1:34">
      <c r="A108" s="6">
        <v>1350</v>
      </c>
      <c r="B108" s="7">
        <v>0.04</v>
      </c>
      <c r="C108" s="6">
        <v>0.15</v>
      </c>
      <c r="D108" s="6">
        <v>0.02</v>
      </c>
      <c r="E108" s="6">
        <v>0.005</v>
      </c>
      <c r="F108" s="6">
        <v>0</v>
      </c>
      <c r="G108" s="6">
        <v>0.005</v>
      </c>
      <c r="H108" s="6">
        <v>0.025</v>
      </c>
      <c r="I108" s="6">
        <v>0.01</v>
      </c>
      <c r="J108" s="6">
        <v>0.01</v>
      </c>
      <c r="K108" s="6">
        <v>0</v>
      </c>
      <c r="L108" s="6">
        <v>0</v>
      </c>
      <c r="M108" s="6">
        <v>0</v>
      </c>
      <c r="N108" s="6">
        <v>0.015</v>
      </c>
      <c r="O108" s="6">
        <v>0</v>
      </c>
      <c r="P108" s="6">
        <v>0</v>
      </c>
      <c r="Q108" s="6">
        <v>0.02</v>
      </c>
      <c r="R108" s="6">
        <v>0</v>
      </c>
      <c r="S108" s="6">
        <v>0</v>
      </c>
      <c r="T108" s="8">
        <f t="shared" ref="T108:T122" si="6">100-SUM(B108:S108)</f>
        <v>99.7</v>
      </c>
      <c r="U108" s="7">
        <v>25</v>
      </c>
      <c r="V108" s="6">
        <v>25</v>
      </c>
      <c r="W108" s="6">
        <v>0</v>
      </c>
      <c r="X108" s="6" t="s">
        <v>34</v>
      </c>
      <c r="Y108" s="6" t="s">
        <v>35</v>
      </c>
      <c r="Z108" s="6" t="s">
        <v>65</v>
      </c>
      <c r="AA108" s="6" t="s">
        <v>37</v>
      </c>
      <c r="AB108" s="6" t="s">
        <v>37</v>
      </c>
      <c r="AC108" s="6" t="s">
        <v>38</v>
      </c>
      <c r="AD108" s="26" t="s">
        <v>66</v>
      </c>
      <c r="AE108" s="7">
        <v>83</v>
      </c>
      <c r="AF108" s="6">
        <v>98</v>
      </c>
      <c r="AG108" s="10" t="s">
        <v>40</v>
      </c>
      <c r="AH108" s="31" t="s">
        <v>54</v>
      </c>
    </row>
    <row r="109" ht="13.9" spans="1:34">
      <c r="A109" s="6">
        <v>1350</v>
      </c>
      <c r="B109" s="7">
        <v>0.04</v>
      </c>
      <c r="C109" s="6">
        <v>0.15</v>
      </c>
      <c r="D109" s="6">
        <v>0.02</v>
      </c>
      <c r="E109" s="6">
        <v>0.005</v>
      </c>
      <c r="F109" s="6">
        <v>0</v>
      </c>
      <c r="G109" s="6">
        <v>0.005</v>
      </c>
      <c r="H109" s="6">
        <v>0.025</v>
      </c>
      <c r="I109" s="6">
        <v>0.01</v>
      </c>
      <c r="J109" s="6">
        <v>0.01</v>
      </c>
      <c r="K109" s="6">
        <v>0</v>
      </c>
      <c r="L109" s="6">
        <v>0</v>
      </c>
      <c r="M109" s="6">
        <v>0</v>
      </c>
      <c r="N109" s="6">
        <v>0.015</v>
      </c>
      <c r="O109" s="6">
        <v>0</v>
      </c>
      <c r="P109" s="6">
        <v>0</v>
      </c>
      <c r="Q109" s="6">
        <v>0.02</v>
      </c>
      <c r="R109" s="6">
        <v>0</v>
      </c>
      <c r="S109" s="6">
        <v>0</v>
      </c>
      <c r="T109" s="8">
        <f t="shared" si="6"/>
        <v>99.7</v>
      </c>
      <c r="U109" s="7">
        <v>25</v>
      </c>
      <c r="V109" s="6">
        <v>25</v>
      </c>
      <c r="W109" s="6">
        <v>0</v>
      </c>
      <c r="X109" s="6" t="s">
        <v>42</v>
      </c>
      <c r="Y109" s="6" t="s">
        <v>35</v>
      </c>
      <c r="Z109" s="6" t="s">
        <v>65</v>
      </c>
      <c r="AA109" s="6" t="s">
        <v>37</v>
      </c>
      <c r="AB109" s="6" t="s">
        <v>37</v>
      </c>
      <c r="AC109" s="6" t="s">
        <v>51</v>
      </c>
      <c r="AD109" s="26" t="s">
        <v>66</v>
      </c>
      <c r="AE109" s="7">
        <v>55</v>
      </c>
      <c r="AF109" s="6">
        <v>83</v>
      </c>
      <c r="AG109" s="10" t="s">
        <v>40</v>
      </c>
      <c r="AH109" s="31" t="s">
        <v>54</v>
      </c>
    </row>
    <row r="110" ht="13.9" spans="1:34">
      <c r="A110" s="6">
        <v>1350</v>
      </c>
      <c r="B110" s="7">
        <v>0.04</v>
      </c>
      <c r="C110" s="6">
        <v>0.15</v>
      </c>
      <c r="D110" s="6">
        <v>0.02</v>
      </c>
      <c r="E110" s="6">
        <v>0.005</v>
      </c>
      <c r="F110" s="6">
        <v>0</v>
      </c>
      <c r="G110" s="6">
        <v>0.005</v>
      </c>
      <c r="H110" s="6">
        <v>0.025</v>
      </c>
      <c r="I110" s="6">
        <v>0.01</v>
      </c>
      <c r="J110" s="6">
        <v>0.01</v>
      </c>
      <c r="K110" s="6">
        <v>0</v>
      </c>
      <c r="L110" s="6">
        <v>0</v>
      </c>
      <c r="M110" s="6">
        <v>0</v>
      </c>
      <c r="N110" s="6">
        <v>0.015</v>
      </c>
      <c r="O110" s="6">
        <v>0</v>
      </c>
      <c r="P110" s="6">
        <v>0</v>
      </c>
      <c r="Q110" s="6">
        <v>0.02</v>
      </c>
      <c r="R110" s="6">
        <v>0</v>
      </c>
      <c r="S110" s="6">
        <v>0</v>
      </c>
      <c r="T110" s="8">
        <f t="shared" si="6"/>
        <v>99.7</v>
      </c>
      <c r="U110" s="7">
        <v>345</v>
      </c>
      <c r="V110" s="6">
        <v>25</v>
      </c>
      <c r="W110" s="6">
        <v>0</v>
      </c>
      <c r="X110" s="6" t="s">
        <v>34</v>
      </c>
      <c r="Y110" s="6" t="s">
        <v>50</v>
      </c>
      <c r="Z110" s="6" t="s">
        <v>37</v>
      </c>
      <c r="AA110" s="6" t="s">
        <v>37</v>
      </c>
      <c r="AB110" s="6" t="s">
        <v>37</v>
      </c>
      <c r="AC110" s="6" t="s">
        <v>38</v>
      </c>
      <c r="AD110" s="26" t="s">
        <v>57</v>
      </c>
      <c r="AE110" s="7">
        <v>28</v>
      </c>
      <c r="AF110" s="6">
        <v>80</v>
      </c>
      <c r="AG110" s="10">
        <v>23</v>
      </c>
      <c r="AH110" s="31" t="s">
        <v>54</v>
      </c>
    </row>
    <row r="111" ht="13.9" spans="1:34">
      <c r="A111" s="6">
        <v>1350</v>
      </c>
      <c r="B111" s="7">
        <v>0.04</v>
      </c>
      <c r="C111" s="6">
        <v>0.15</v>
      </c>
      <c r="D111" s="6">
        <v>0.02</v>
      </c>
      <c r="E111" s="6">
        <v>0.005</v>
      </c>
      <c r="F111" s="6">
        <v>0</v>
      </c>
      <c r="G111" s="6">
        <v>0.005</v>
      </c>
      <c r="H111" s="6">
        <v>0.025</v>
      </c>
      <c r="I111" s="6">
        <v>0.01</v>
      </c>
      <c r="J111" s="6">
        <v>0.01</v>
      </c>
      <c r="K111" s="6">
        <v>0</v>
      </c>
      <c r="L111" s="6">
        <v>0</v>
      </c>
      <c r="M111" s="6">
        <v>0</v>
      </c>
      <c r="N111" s="6">
        <v>0.015</v>
      </c>
      <c r="O111" s="6">
        <v>0</v>
      </c>
      <c r="P111" s="6">
        <v>0</v>
      </c>
      <c r="Q111" s="6">
        <v>0.02</v>
      </c>
      <c r="R111" s="6">
        <v>0</v>
      </c>
      <c r="S111" s="6">
        <v>0</v>
      </c>
      <c r="T111" s="8">
        <f t="shared" si="6"/>
        <v>99.7</v>
      </c>
      <c r="U111" s="7">
        <v>345</v>
      </c>
      <c r="V111" s="6">
        <v>25</v>
      </c>
      <c r="W111" s="6">
        <v>0</v>
      </c>
      <c r="X111" s="6" t="s">
        <v>34</v>
      </c>
      <c r="Y111" s="6" t="s">
        <v>50</v>
      </c>
      <c r="Z111" s="6" t="s">
        <v>37</v>
      </c>
      <c r="AA111" s="6" t="s">
        <v>37</v>
      </c>
      <c r="AB111" s="6" t="s">
        <v>37</v>
      </c>
      <c r="AC111" s="6" t="s">
        <v>69</v>
      </c>
      <c r="AD111" s="26" t="s">
        <v>57</v>
      </c>
      <c r="AE111" s="7" t="s">
        <v>40</v>
      </c>
      <c r="AF111" s="6">
        <v>76.5</v>
      </c>
      <c r="AG111" s="10" t="s">
        <v>40</v>
      </c>
      <c r="AH111" s="31" t="s">
        <v>54</v>
      </c>
    </row>
    <row r="112" ht="13.9" spans="1:34">
      <c r="A112" s="6">
        <v>1350</v>
      </c>
      <c r="B112" s="7">
        <v>0.04</v>
      </c>
      <c r="C112" s="6">
        <v>0.15</v>
      </c>
      <c r="D112" s="6">
        <v>0.02</v>
      </c>
      <c r="E112" s="6">
        <v>0.005</v>
      </c>
      <c r="F112" s="6">
        <v>0</v>
      </c>
      <c r="G112" s="6">
        <v>0.005</v>
      </c>
      <c r="H112" s="6">
        <v>0.025</v>
      </c>
      <c r="I112" s="6">
        <v>0.01</v>
      </c>
      <c r="J112" s="6">
        <v>0.01</v>
      </c>
      <c r="K112" s="6">
        <v>0</v>
      </c>
      <c r="L112" s="6">
        <v>0</v>
      </c>
      <c r="M112" s="6">
        <v>0</v>
      </c>
      <c r="N112" s="6">
        <v>0.015</v>
      </c>
      <c r="O112" s="6">
        <v>0</v>
      </c>
      <c r="P112" s="6">
        <v>0</v>
      </c>
      <c r="Q112" s="6">
        <v>0.02</v>
      </c>
      <c r="R112" s="6">
        <v>0</v>
      </c>
      <c r="S112" s="6">
        <v>0</v>
      </c>
      <c r="T112" s="8">
        <f t="shared" si="6"/>
        <v>99.7</v>
      </c>
      <c r="U112" s="7">
        <v>345</v>
      </c>
      <c r="V112" s="6">
        <v>25</v>
      </c>
      <c r="W112" s="6">
        <v>0</v>
      </c>
      <c r="X112" s="6" t="s">
        <v>42</v>
      </c>
      <c r="Y112" s="6" t="s">
        <v>50</v>
      </c>
      <c r="Z112" s="6" t="s">
        <v>37</v>
      </c>
      <c r="AA112" s="6" t="s">
        <v>37</v>
      </c>
      <c r="AB112" s="6" t="s">
        <v>37</v>
      </c>
      <c r="AC112" s="6" t="s">
        <v>59</v>
      </c>
      <c r="AD112" s="26" t="s">
        <v>57</v>
      </c>
      <c r="AE112" s="7" t="s">
        <v>40</v>
      </c>
      <c r="AF112" s="6">
        <v>75</v>
      </c>
      <c r="AG112" s="10">
        <v>21.5</v>
      </c>
      <c r="AH112" s="31" t="s">
        <v>54</v>
      </c>
    </row>
    <row r="113" ht="13.9" spans="1:34">
      <c r="A113" s="6">
        <v>1350</v>
      </c>
      <c r="B113" s="7">
        <v>0.04</v>
      </c>
      <c r="C113" s="6">
        <v>0.15</v>
      </c>
      <c r="D113" s="6">
        <v>0.02</v>
      </c>
      <c r="E113" s="6">
        <v>0.005</v>
      </c>
      <c r="F113" s="6">
        <v>0</v>
      </c>
      <c r="G113" s="6">
        <v>0.005</v>
      </c>
      <c r="H113" s="6">
        <v>0.025</v>
      </c>
      <c r="I113" s="6">
        <v>0.01</v>
      </c>
      <c r="J113" s="6">
        <v>0.01</v>
      </c>
      <c r="K113" s="6">
        <v>0</v>
      </c>
      <c r="L113" s="6">
        <v>0</v>
      </c>
      <c r="M113" s="6">
        <v>0</v>
      </c>
      <c r="N113" s="6">
        <v>0.015</v>
      </c>
      <c r="O113" s="6">
        <v>0</v>
      </c>
      <c r="P113" s="6">
        <v>0</v>
      </c>
      <c r="Q113" s="6">
        <v>0.02</v>
      </c>
      <c r="R113" s="6">
        <v>0</v>
      </c>
      <c r="S113" s="6">
        <v>0</v>
      </c>
      <c r="T113" s="8">
        <f t="shared" si="6"/>
        <v>99.7</v>
      </c>
      <c r="U113" s="7">
        <v>345</v>
      </c>
      <c r="V113" s="6">
        <v>25</v>
      </c>
      <c r="W113" s="6">
        <v>0</v>
      </c>
      <c r="X113" s="6" t="s">
        <v>42</v>
      </c>
      <c r="Y113" s="6" t="s">
        <v>50</v>
      </c>
      <c r="Z113" s="6" t="s">
        <v>37</v>
      </c>
      <c r="AA113" s="6" t="s">
        <v>37</v>
      </c>
      <c r="AB113" s="6" t="s">
        <v>37</v>
      </c>
      <c r="AC113" s="6" t="s">
        <v>43</v>
      </c>
      <c r="AD113" s="26" t="s">
        <v>57</v>
      </c>
      <c r="AE113" s="7" t="s">
        <v>40</v>
      </c>
      <c r="AF113" s="6">
        <v>75</v>
      </c>
      <c r="AG113" s="10">
        <v>21.5</v>
      </c>
      <c r="AH113" s="31" t="s">
        <v>54</v>
      </c>
    </row>
    <row r="114" ht="13.9" spans="1:34">
      <c r="A114" s="6">
        <v>1350</v>
      </c>
      <c r="B114" s="7">
        <v>0.04</v>
      </c>
      <c r="C114" s="6">
        <v>0.15</v>
      </c>
      <c r="D114" s="6">
        <v>0.02</v>
      </c>
      <c r="E114" s="6">
        <v>0.005</v>
      </c>
      <c r="F114" s="6">
        <v>0</v>
      </c>
      <c r="G114" s="6">
        <v>0.005</v>
      </c>
      <c r="H114" s="6">
        <v>0.025</v>
      </c>
      <c r="I114" s="6">
        <v>0.01</v>
      </c>
      <c r="J114" s="6">
        <v>0.01</v>
      </c>
      <c r="K114" s="6">
        <v>0</v>
      </c>
      <c r="L114" s="6">
        <v>0</v>
      </c>
      <c r="M114" s="6">
        <v>0</v>
      </c>
      <c r="N114" s="6">
        <v>0.015</v>
      </c>
      <c r="O114" s="6">
        <v>0</v>
      </c>
      <c r="P114" s="6">
        <v>0</v>
      </c>
      <c r="Q114" s="6">
        <v>0.02</v>
      </c>
      <c r="R114" s="6">
        <v>0</v>
      </c>
      <c r="S114" s="6">
        <v>0</v>
      </c>
      <c r="T114" s="8">
        <f t="shared" si="6"/>
        <v>99.7</v>
      </c>
      <c r="U114" s="7">
        <v>25</v>
      </c>
      <c r="V114" s="6">
        <v>25</v>
      </c>
      <c r="W114" s="6">
        <v>0</v>
      </c>
      <c r="X114" s="6" t="s">
        <v>42</v>
      </c>
      <c r="Y114" s="6" t="s">
        <v>35</v>
      </c>
      <c r="Z114" s="6" t="s">
        <v>67</v>
      </c>
      <c r="AA114" s="6" t="s">
        <v>37</v>
      </c>
      <c r="AB114" s="6" t="s">
        <v>37</v>
      </c>
      <c r="AC114" s="6" t="s">
        <v>59</v>
      </c>
      <c r="AD114" s="26" t="s">
        <v>68</v>
      </c>
      <c r="AE114" s="7" t="s">
        <v>40</v>
      </c>
      <c r="AF114" s="6">
        <v>69</v>
      </c>
      <c r="AG114" s="10" t="s">
        <v>40</v>
      </c>
      <c r="AH114" s="31" t="s">
        <v>54</v>
      </c>
    </row>
    <row r="115" ht="13.9" spans="1:34">
      <c r="A115" s="6">
        <v>1350</v>
      </c>
      <c r="B115" s="7">
        <v>0.04</v>
      </c>
      <c r="C115" s="6">
        <v>0.15</v>
      </c>
      <c r="D115" s="6">
        <v>0.02</v>
      </c>
      <c r="E115" s="6">
        <v>0.005</v>
      </c>
      <c r="F115" s="6">
        <v>0</v>
      </c>
      <c r="G115" s="6">
        <v>0.005</v>
      </c>
      <c r="H115" s="6">
        <v>0.025</v>
      </c>
      <c r="I115" s="6">
        <v>0.01</v>
      </c>
      <c r="J115" s="6">
        <v>0.01</v>
      </c>
      <c r="K115" s="6">
        <v>0</v>
      </c>
      <c r="L115" s="6">
        <v>0</v>
      </c>
      <c r="M115" s="6">
        <v>0</v>
      </c>
      <c r="N115" s="6">
        <v>0.015</v>
      </c>
      <c r="O115" s="6">
        <v>0</v>
      </c>
      <c r="P115" s="6">
        <v>0</v>
      </c>
      <c r="Q115" s="6">
        <v>0.02</v>
      </c>
      <c r="R115" s="6">
        <v>0</v>
      </c>
      <c r="S115" s="6">
        <v>0</v>
      </c>
      <c r="T115" s="8">
        <f t="shared" si="6"/>
        <v>99.7</v>
      </c>
      <c r="U115" s="7">
        <v>25</v>
      </c>
      <c r="V115" s="6">
        <v>25</v>
      </c>
      <c r="W115" s="6">
        <v>0</v>
      </c>
      <c r="X115" s="6" t="s">
        <v>42</v>
      </c>
      <c r="Y115" s="6" t="s">
        <v>35</v>
      </c>
      <c r="Z115" s="6" t="s">
        <v>67</v>
      </c>
      <c r="AA115" s="6" t="s">
        <v>37</v>
      </c>
      <c r="AB115" s="6" t="s">
        <v>37</v>
      </c>
      <c r="AC115" s="6" t="s">
        <v>51</v>
      </c>
      <c r="AD115" s="26" t="s">
        <v>68</v>
      </c>
      <c r="AE115" s="7">
        <v>31</v>
      </c>
      <c r="AF115" s="6">
        <v>69</v>
      </c>
      <c r="AG115" s="10" t="s">
        <v>40</v>
      </c>
      <c r="AH115" s="31" t="s">
        <v>54</v>
      </c>
    </row>
    <row r="116" ht="13.9" spans="1:34">
      <c r="A116" s="6">
        <v>1350</v>
      </c>
      <c r="B116" s="7">
        <v>0.04</v>
      </c>
      <c r="C116" s="6">
        <v>0.15</v>
      </c>
      <c r="D116" s="6">
        <v>0.02</v>
      </c>
      <c r="E116" s="6">
        <v>0.005</v>
      </c>
      <c r="F116" s="6">
        <v>0</v>
      </c>
      <c r="G116" s="6">
        <v>0.005</v>
      </c>
      <c r="H116" s="6">
        <v>0.025</v>
      </c>
      <c r="I116" s="6">
        <v>0.01</v>
      </c>
      <c r="J116" s="6">
        <v>0.01</v>
      </c>
      <c r="K116" s="6">
        <v>0</v>
      </c>
      <c r="L116" s="6">
        <v>0</v>
      </c>
      <c r="M116" s="6">
        <v>0</v>
      </c>
      <c r="N116" s="6">
        <v>0.015</v>
      </c>
      <c r="O116" s="6">
        <v>0</v>
      </c>
      <c r="P116" s="6">
        <v>0</v>
      </c>
      <c r="Q116" s="6">
        <v>0.02</v>
      </c>
      <c r="R116" s="6">
        <v>0</v>
      </c>
      <c r="S116" s="6">
        <v>0</v>
      </c>
      <c r="T116" s="8">
        <f t="shared" si="6"/>
        <v>99.7</v>
      </c>
      <c r="U116" s="7">
        <v>25</v>
      </c>
      <c r="V116" s="6">
        <v>25</v>
      </c>
      <c r="W116" s="6">
        <v>0</v>
      </c>
      <c r="X116" s="6" t="s">
        <v>44</v>
      </c>
      <c r="Y116" s="6" t="s">
        <v>50</v>
      </c>
      <c r="Z116" s="6" t="s">
        <v>48</v>
      </c>
      <c r="AA116" s="6" t="s">
        <v>37</v>
      </c>
      <c r="AB116" s="6" t="s">
        <v>37</v>
      </c>
      <c r="AC116" s="6" t="s">
        <v>51</v>
      </c>
      <c r="AD116" s="26" t="s">
        <v>49</v>
      </c>
      <c r="AE116" s="7">
        <v>25</v>
      </c>
      <c r="AF116" s="6">
        <v>58</v>
      </c>
      <c r="AG116" s="10" t="s">
        <v>40</v>
      </c>
      <c r="AH116" s="31" t="s">
        <v>54</v>
      </c>
    </row>
    <row r="117" ht="13.9" spans="1:34">
      <c r="A117" s="6">
        <v>1350</v>
      </c>
      <c r="B117" s="7">
        <v>0.04</v>
      </c>
      <c r="C117" s="6">
        <v>0.15</v>
      </c>
      <c r="D117" s="6">
        <v>0.02</v>
      </c>
      <c r="E117" s="6">
        <v>0.005</v>
      </c>
      <c r="F117" s="6">
        <v>0</v>
      </c>
      <c r="G117" s="6">
        <v>0.005</v>
      </c>
      <c r="H117" s="6">
        <v>0.025</v>
      </c>
      <c r="I117" s="6">
        <v>0.01</v>
      </c>
      <c r="J117" s="6">
        <v>0.01</v>
      </c>
      <c r="K117" s="6">
        <v>0</v>
      </c>
      <c r="L117" s="6">
        <v>0</v>
      </c>
      <c r="M117" s="6">
        <v>0</v>
      </c>
      <c r="N117" s="6">
        <v>0.015</v>
      </c>
      <c r="O117" s="6">
        <v>0</v>
      </c>
      <c r="P117" s="6">
        <v>0</v>
      </c>
      <c r="Q117" s="6">
        <v>0.02</v>
      </c>
      <c r="R117" s="6">
        <v>0</v>
      </c>
      <c r="S117" s="6">
        <v>0</v>
      </c>
      <c r="T117" s="8">
        <f t="shared" si="6"/>
        <v>99.7</v>
      </c>
      <c r="U117" s="7">
        <v>25</v>
      </c>
      <c r="V117" s="6">
        <v>25</v>
      </c>
      <c r="W117" s="6">
        <v>0</v>
      </c>
      <c r="X117" s="6" t="s">
        <v>44</v>
      </c>
      <c r="Y117" s="6" t="s">
        <v>50</v>
      </c>
      <c r="Z117" s="6" t="s">
        <v>48</v>
      </c>
      <c r="AA117" s="6" t="s">
        <v>37</v>
      </c>
      <c r="AB117" s="6" t="s">
        <v>37</v>
      </c>
      <c r="AC117" s="6" t="s">
        <v>69</v>
      </c>
      <c r="AD117" s="26" t="s">
        <v>49</v>
      </c>
      <c r="AE117" s="7">
        <v>25</v>
      </c>
      <c r="AF117" s="6">
        <v>58</v>
      </c>
      <c r="AG117" s="10" t="s">
        <v>40</v>
      </c>
      <c r="AH117" s="31" t="s">
        <v>54</v>
      </c>
    </row>
    <row r="118" ht="13.9" spans="1:34">
      <c r="A118" s="6">
        <v>1350</v>
      </c>
      <c r="B118" s="7">
        <v>0.04</v>
      </c>
      <c r="C118" s="6">
        <v>0.15</v>
      </c>
      <c r="D118" s="6">
        <v>0.02</v>
      </c>
      <c r="E118" s="6">
        <v>0.005</v>
      </c>
      <c r="F118" s="6">
        <v>0</v>
      </c>
      <c r="G118" s="6">
        <v>0.005</v>
      </c>
      <c r="H118" s="6">
        <v>0.025</v>
      </c>
      <c r="I118" s="6">
        <v>0.01</v>
      </c>
      <c r="J118" s="6">
        <v>0.01</v>
      </c>
      <c r="K118" s="6">
        <v>0</v>
      </c>
      <c r="L118" s="6">
        <v>0</v>
      </c>
      <c r="M118" s="6">
        <v>0</v>
      </c>
      <c r="N118" s="6">
        <v>0.015</v>
      </c>
      <c r="O118" s="6">
        <v>0</v>
      </c>
      <c r="P118" s="6">
        <v>0</v>
      </c>
      <c r="Q118" s="6">
        <v>0.02</v>
      </c>
      <c r="R118" s="6">
        <v>0</v>
      </c>
      <c r="S118" s="6">
        <v>0</v>
      </c>
      <c r="T118" s="8">
        <f t="shared" si="6"/>
        <v>99.7</v>
      </c>
      <c r="U118" s="7">
        <v>25</v>
      </c>
      <c r="V118" s="6">
        <v>25</v>
      </c>
      <c r="W118" s="6">
        <v>0</v>
      </c>
      <c r="X118" s="6" t="s">
        <v>44</v>
      </c>
      <c r="Y118" s="6" t="s">
        <v>50</v>
      </c>
      <c r="Z118" s="6" t="s">
        <v>48</v>
      </c>
      <c r="AA118" s="6" t="s">
        <v>37</v>
      </c>
      <c r="AB118" s="6" t="s">
        <v>37</v>
      </c>
      <c r="AC118" s="6" t="s">
        <v>45</v>
      </c>
      <c r="AD118" s="26" t="s">
        <v>49</v>
      </c>
      <c r="AE118" s="7">
        <v>25</v>
      </c>
      <c r="AF118" s="6">
        <v>58</v>
      </c>
      <c r="AG118" s="10" t="s">
        <v>40</v>
      </c>
      <c r="AH118" s="31" t="s">
        <v>54</v>
      </c>
    </row>
    <row r="119" s="3" customFormat="1" ht="13.9" spans="1:34">
      <c r="A119" s="3">
        <v>1350</v>
      </c>
      <c r="B119" s="16">
        <v>0.04</v>
      </c>
      <c r="C119" s="3">
        <v>0.15</v>
      </c>
      <c r="D119" s="3">
        <v>0.02</v>
      </c>
      <c r="E119" s="3">
        <v>0.005</v>
      </c>
      <c r="F119" s="3">
        <v>0</v>
      </c>
      <c r="G119" s="3">
        <v>0.005</v>
      </c>
      <c r="H119" s="3">
        <v>0.025</v>
      </c>
      <c r="I119" s="3">
        <v>0.01</v>
      </c>
      <c r="J119" s="3">
        <v>0.01</v>
      </c>
      <c r="K119" s="3">
        <v>0</v>
      </c>
      <c r="L119" s="3">
        <v>0</v>
      </c>
      <c r="M119" s="3">
        <v>0</v>
      </c>
      <c r="N119" s="3">
        <v>0.015</v>
      </c>
      <c r="O119" s="3">
        <v>0</v>
      </c>
      <c r="P119" s="3">
        <v>0</v>
      </c>
      <c r="Q119" s="3">
        <v>0.02</v>
      </c>
      <c r="R119" s="3">
        <v>0</v>
      </c>
      <c r="S119" s="3">
        <v>0</v>
      </c>
      <c r="T119" s="22">
        <f t="shared" si="6"/>
        <v>99.7</v>
      </c>
      <c r="U119" s="16">
        <v>25</v>
      </c>
      <c r="V119" s="3">
        <v>25</v>
      </c>
      <c r="W119" s="3">
        <v>0</v>
      </c>
      <c r="X119" s="3" t="s">
        <v>44</v>
      </c>
      <c r="Y119" s="3" t="s">
        <v>50</v>
      </c>
      <c r="Z119" s="3" t="s">
        <v>48</v>
      </c>
      <c r="AA119" s="3" t="s">
        <v>37</v>
      </c>
      <c r="AB119" s="3" t="s">
        <v>37</v>
      </c>
      <c r="AC119" s="3" t="s">
        <v>38</v>
      </c>
      <c r="AD119" s="27" t="s">
        <v>49</v>
      </c>
      <c r="AE119" s="16">
        <v>25</v>
      </c>
      <c r="AF119" s="3">
        <v>58</v>
      </c>
      <c r="AG119" s="32" t="s">
        <v>40</v>
      </c>
      <c r="AH119" s="33" t="s">
        <v>54</v>
      </c>
    </row>
    <row r="120" s="4" customFormat="1" ht="13.9" spans="1:34">
      <c r="A120" s="4">
        <v>1441</v>
      </c>
      <c r="B120" s="35">
        <v>0</v>
      </c>
      <c r="C120" s="4">
        <v>0</v>
      </c>
      <c r="D120" s="4">
        <v>1.6</v>
      </c>
      <c r="E120" s="4">
        <v>0</v>
      </c>
      <c r="F120" s="4">
        <v>0.95</v>
      </c>
      <c r="G120" s="4">
        <v>0</v>
      </c>
      <c r="H120" s="4">
        <v>0</v>
      </c>
      <c r="I120" s="4">
        <v>0</v>
      </c>
      <c r="J120" s="4">
        <v>0</v>
      </c>
      <c r="K120" s="4">
        <v>0.08</v>
      </c>
      <c r="L120" s="4">
        <v>1.7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37">
        <f t="shared" si="6"/>
        <v>95.67</v>
      </c>
      <c r="U120" s="35">
        <v>530</v>
      </c>
      <c r="V120" s="4">
        <v>150</v>
      </c>
      <c r="W120" s="4">
        <v>24</v>
      </c>
      <c r="X120" s="4" t="s">
        <v>42</v>
      </c>
      <c r="Y120" s="4" t="s">
        <v>73</v>
      </c>
      <c r="Z120" s="4" t="s">
        <v>37</v>
      </c>
      <c r="AA120" s="4" t="s">
        <v>74</v>
      </c>
      <c r="AB120" s="4" t="s">
        <v>37</v>
      </c>
      <c r="AC120" s="4" t="s">
        <v>43</v>
      </c>
      <c r="AD120" s="37" t="s">
        <v>75</v>
      </c>
      <c r="AE120" s="35">
        <v>315</v>
      </c>
      <c r="AF120" s="4">
        <v>415</v>
      </c>
      <c r="AG120" s="39">
        <v>16</v>
      </c>
      <c r="AH120" s="40" t="s">
        <v>76</v>
      </c>
    </row>
    <row r="121" ht="13.9" spans="1:34">
      <c r="A121" s="6">
        <v>2011</v>
      </c>
      <c r="B121" s="7">
        <v>0.4</v>
      </c>
      <c r="C121" s="6">
        <v>0.7</v>
      </c>
      <c r="D121" s="6">
        <v>5.5</v>
      </c>
      <c r="E121" s="6">
        <v>0</v>
      </c>
      <c r="F121" s="6">
        <v>0</v>
      </c>
      <c r="G121" s="6">
        <v>0</v>
      </c>
      <c r="H121" s="6">
        <v>0.15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0.4</v>
      </c>
      <c r="P121" s="6">
        <v>0.4</v>
      </c>
      <c r="Q121" s="6">
        <v>0</v>
      </c>
      <c r="R121" s="6">
        <v>0</v>
      </c>
      <c r="S121" s="6">
        <v>0</v>
      </c>
      <c r="T121" s="8">
        <f t="shared" si="6"/>
        <v>92.45</v>
      </c>
      <c r="U121" s="7">
        <v>525</v>
      </c>
      <c r="V121" s="6">
        <v>160</v>
      </c>
      <c r="W121" s="6">
        <v>14</v>
      </c>
      <c r="X121" s="6" t="s">
        <v>42</v>
      </c>
      <c r="Y121" s="6" t="s">
        <v>73</v>
      </c>
      <c r="Z121" s="6" t="s">
        <v>37</v>
      </c>
      <c r="AA121" s="6" t="s">
        <v>74</v>
      </c>
      <c r="AB121" s="6" t="s">
        <v>37</v>
      </c>
      <c r="AC121" s="6" t="s">
        <v>69</v>
      </c>
      <c r="AD121" s="26" t="s">
        <v>77</v>
      </c>
      <c r="AE121" s="7">
        <v>230</v>
      </c>
      <c r="AF121" s="6">
        <v>310</v>
      </c>
      <c r="AG121" s="10">
        <v>6</v>
      </c>
      <c r="AH121" s="31" t="s">
        <v>78</v>
      </c>
    </row>
    <row r="122" ht="13.9" spans="1:34">
      <c r="A122" s="6">
        <v>2011</v>
      </c>
      <c r="B122" s="7">
        <v>0.4</v>
      </c>
      <c r="C122" s="6">
        <v>0.7</v>
      </c>
      <c r="D122" s="6">
        <v>5.5</v>
      </c>
      <c r="E122" s="6">
        <v>0</v>
      </c>
      <c r="F122" s="6">
        <v>0</v>
      </c>
      <c r="G122" s="6">
        <v>0</v>
      </c>
      <c r="H122" s="6">
        <v>0.15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0.4</v>
      </c>
      <c r="P122" s="6">
        <v>0.4</v>
      </c>
      <c r="Q122" s="6">
        <v>0</v>
      </c>
      <c r="R122" s="6">
        <v>0</v>
      </c>
      <c r="S122" s="6">
        <v>0</v>
      </c>
      <c r="T122" s="8">
        <f t="shared" si="6"/>
        <v>92.45</v>
      </c>
      <c r="U122" s="7">
        <v>525</v>
      </c>
      <c r="V122" s="6">
        <v>25</v>
      </c>
      <c r="W122" s="6">
        <v>0</v>
      </c>
      <c r="X122" s="6" t="s">
        <v>44</v>
      </c>
      <c r="Y122" s="6" t="s">
        <v>73</v>
      </c>
      <c r="Z122" s="6" t="s">
        <v>79</v>
      </c>
      <c r="AA122" s="6" t="s">
        <v>80</v>
      </c>
      <c r="AB122" s="6" t="s">
        <v>37</v>
      </c>
      <c r="AC122" s="6" t="s">
        <v>51</v>
      </c>
      <c r="AD122" s="26" t="s">
        <v>81</v>
      </c>
      <c r="AE122" s="7">
        <v>270</v>
      </c>
      <c r="AF122" s="6">
        <v>320</v>
      </c>
      <c r="AG122" s="10">
        <v>10</v>
      </c>
      <c r="AH122" s="11" t="s">
        <v>82</v>
      </c>
    </row>
    <row r="123" ht="13.9" spans="1:34">
      <c r="A123" s="6">
        <v>2011</v>
      </c>
      <c r="B123" s="7">
        <v>0.4</v>
      </c>
      <c r="C123" s="6">
        <v>0.7</v>
      </c>
      <c r="D123" s="6">
        <v>5.5</v>
      </c>
      <c r="E123" s="6">
        <v>0</v>
      </c>
      <c r="F123" s="6">
        <v>0</v>
      </c>
      <c r="G123" s="6">
        <v>0</v>
      </c>
      <c r="H123" s="6">
        <v>0.15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0.4</v>
      </c>
      <c r="P123" s="6">
        <v>0.4</v>
      </c>
      <c r="Q123" s="6">
        <v>0</v>
      </c>
      <c r="R123" s="6">
        <v>0</v>
      </c>
      <c r="S123" s="6">
        <v>0</v>
      </c>
      <c r="T123" s="8">
        <v>92.45</v>
      </c>
      <c r="U123" s="7">
        <v>525</v>
      </c>
      <c r="V123" s="6">
        <v>25</v>
      </c>
      <c r="W123" s="6">
        <v>0</v>
      </c>
      <c r="X123" s="6" t="s">
        <v>44</v>
      </c>
      <c r="Y123" s="6" t="s">
        <v>73</v>
      </c>
      <c r="Z123" s="6" t="s">
        <v>79</v>
      </c>
      <c r="AA123" s="6" t="s">
        <v>80</v>
      </c>
      <c r="AB123" s="6" t="s">
        <v>37</v>
      </c>
      <c r="AC123" s="6" t="s">
        <v>69</v>
      </c>
      <c r="AD123" s="26" t="s">
        <v>81</v>
      </c>
      <c r="AE123" s="7">
        <v>270</v>
      </c>
      <c r="AF123" s="6">
        <v>320</v>
      </c>
      <c r="AG123" s="10">
        <v>10</v>
      </c>
      <c r="AH123" s="11" t="s">
        <v>82</v>
      </c>
    </row>
    <row r="124" ht="13.9" spans="1:34">
      <c r="A124" s="6">
        <v>2011</v>
      </c>
      <c r="B124" s="7">
        <v>0.4</v>
      </c>
      <c r="C124" s="6">
        <v>0.7</v>
      </c>
      <c r="D124" s="6">
        <v>5.5</v>
      </c>
      <c r="E124" s="6">
        <v>0</v>
      </c>
      <c r="F124" s="6">
        <v>0</v>
      </c>
      <c r="G124" s="6">
        <v>0</v>
      </c>
      <c r="H124" s="6">
        <v>0.15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0.4</v>
      </c>
      <c r="P124" s="6">
        <v>0.4</v>
      </c>
      <c r="Q124" s="6">
        <v>0</v>
      </c>
      <c r="R124" s="6">
        <v>0</v>
      </c>
      <c r="S124" s="6">
        <v>0</v>
      </c>
      <c r="T124" s="8">
        <v>92.45</v>
      </c>
      <c r="U124" s="7">
        <v>525</v>
      </c>
      <c r="V124" s="6">
        <v>25</v>
      </c>
      <c r="W124" s="6">
        <v>0</v>
      </c>
      <c r="X124" s="6" t="s">
        <v>44</v>
      </c>
      <c r="Y124" s="6" t="s">
        <v>73</v>
      </c>
      <c r="Z124" s="6" t="s">
        <v>79</v>
      </c>
      <c r="AA124" s="6" t="s">
        <v>80</v>
      </c>
      <c r="AB124" s="6" t="s">
        <v>37</v>
      </c>
      <c r="AC124" s="6" t="s">
        <v>45</v>
      </c>
      <c r="AD124" s="26" t="s">
        <v>81</v>
      </c>
      <c r="AE124" s="7">
        <v>270</v>
      </c>
      <c r="AF124" s="6">
        <v>320</v>
      </c>
      <c r="AG124" s="10">
        <v>10</v>
      </c>
      <c r="AH124" s="11" t="s">
        <v>82</v>
      </c>
    </row>
    <row r="125" ht="13.9" spans="1:34">
      <c r="A125" s="6">
        <v>2011</v>
      </c>
      <c r="B125" s="7">
        <v>0</v>
      </c>
      <c r="C125" s="6">
        <v>0</v>
      </c>
      <c r="D125" s="36">
        <v>5.5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0.5</v>
      </c>
      <c r="P125" s="6">
        <v>0.5</v>
      </c>
      <c r="Q125" s="6">
        <v>0</v>
      </c>
      <c r="R125" s="6">
        <v>0</v>
      </c>
      <c r="S125" s="6">
        <v>0</v>
      </c>
      <c r="T125" s="8">
        <f t="shared" ref="T125:T156" si="7">100-SUM(B125:S125)</f>
        <v>93.5</v>
      </c>
      <c r="U125" s="7">
        <v>510</v>
      </c>
      <c r="V125" s="6">
        <v>160</v>
      </c>
      <c r="W125" s="6">
        <v>12</v>
      </c>
      <c r="X125" s="6" t="s">
        <v>44</v>
      </c>
      <c r="Y125" s="6" t="s">
        <v>73</v>
      </c>
      <c r="Z125" s="6" t="s">
        <v>37</v>
      </c>
      <c r="AA125" s="6" t="s">
        <v>74</v>
      </c>
      <c r="AB125" s="6" t="s">
        <v>37</v>
      </c>
      <c r="AC125" s="6" t="s">
        <v>51</v>
      </c>
      <c r="AD125" s="26" t="s">
        <v>77</v>
      </c>
      <c r="AE125" s="7">
        <v>260</v>
      </c>
      <c r="AF125" s="6">
        <v>370</v>
      </c>
      <c r="AG125" s="10">
        <v>16</v>
      </c>
      <c r="AH125" s="31" t="s">
        <v>41</v>
      </c>
    </row>
    <row r="126" ht="13.9" spans="1:34">
      <c r="A126" s="6">
        <v>2011</v>
      </c>
      <c r="B126" s="7">
        <v>0</v>
      </c>
      <c r="C126" s="6">
        <v>0</v>
      </c>
      <c r="D126" s="36">
        <v>5.5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0.5</v>
      </c>
      <c r="P126" s="6">
        <v>0.5</v>
      </c>
      <c r="Q126" s="6">
        <v>0</v>
      </c>
      <c r="R126" s="6">
        <v>0</v>
      </c>
      <c r="S126" s="6">
        <v>0</v>
      </c>
      <c r="T126" s="8">
        <f t="shared" si="7"/>
        <v>93.5</v>
      </c>
      <c r="U126" s="7">
        <v>510</v>
      </c>
      <c r="V126" s="6">
        <v>25</v>
      </c>
      <c r="W126" s="6">
        <v>48</v>
      </c>
      <c r="X126" s="6" t="s">
        <v>34</v>
      </c>
      <c r="Y126" s="6" t="s">
        <v>73</v>
      </c>
      <c r="Z126" s="6" t="s">
        <v>79</v>
      </c>
      <c r="AA126" s="6" t="s">
        <v>80</v>
      </c>
      <c r="AB126" s="6" t="s">
        <v>37</v>
      </c>
      <c r="AC126" s="6" t="s">
        <v>38</v>
      </c>
      <c r="AD126" s="26" t="s">
        <v>81</v>
      </c>
      <c r="AE126" s="7">
        <v>350</v>
      </c>
      <c r="AF126" s="6">
        <v>365</v>
      </c>
      <c r="AG126" s="10" t="s">
        <v>40</v>
      </c>
      <c r="AH126" s="31" t="s">
        <v>41</v>
      </c>
    </row>
    <row r="127" ht="13.9" spans="1:34">
      <c r="A127" s="6">
        <v>2011</v>
      </c>
      <c r="B127" s="7">
        <v>0</v>
      </c>
      <c r="C127" s="6">
        <v>0</v>
      </c>
      <c r="D127" s="36">
        <v>5.5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0.5</v>
      </c>
      <c r="P127" s="6">
        <v>0.5</v>
      </c>
      <c r="Q127" s="6">
        <v>0</v>
      </c>
      <c r="R127" s="6">
        <v>0</v>
      </c>
      <c r="S127" s="6">
        <v>0</v>
      </c>
      <c r="T127" s="8">
        <f t="shared" si="7"/>
        <v>93.5</v>
      </c>
      <c r="U127" s="7">
        <v>510</v>
      </c>
      <c r="V127" s="6">
        <v>25</v>
      </c>
      <c r="W127" s="6">
        <v>48</v>
      </c>
      <c r="X127" s="6" t="s">
        <v>44</v>
      </c>
      <c r="Y127" s="6" t="s">
        <v>73</v>
      </c>
      <c r="Z127" s="6" t="s">
        <v>79</v>
      </c>
      <c r="AA127" s="6" t="s">
        <v>80</v>
      </c>
      <c r="AB127" s="6" t="s">
        <v>37</v>
      </c>
      <c r="AC127" s="6" t="s">
        <v>51</v>
      </c>
      <c r="AD127" s="26" t="s">
        <v>81</v>
      </c>
      <c r="AE127" s="7">
        <v>295</v>
      </c>
      <c r="AF127" s="6">
        <v>340</v>
      </c>
      <c r="AG127" s="10">
        <v>14</v>
      </c>
      <c r="AH127" s="31" t="s">
        <v>41</v>
      </c>
    </row>
    <row r="128" ht="13.9" spans="1:34">
      <c r="A128" s="6">
        <v>2011</v>
      </c>
      <c r="B128" s="7">
        <v>0.4</v>
      </c>
      <c r="C128" s="6">
        <v>0.7</v>
      </c>
      <c r="D128" s="6">
        <v>5.5</v>
      </c>
      <c r="E128" s="6">
        <v>0</v>
      </c>
      <c r="F128" s="6">
        <v>0</v>
      </c>
      <c r="G128" s="6">
        <v>0</v>
      </c>
      <c r="H128" s="6">
        <v>0.15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0.4</v>
      </c>
      <c r="P128" s="6">
        <v>0.4</v>
      </c>
      <c r="Q128" s="6">
        <v>0</v>
      </c>
      <c r="R128" s="6">
        <v>0</v>
      </c>
      <c r="S128" s="6">
        <v>0</v>
      </c>
      <c r="T128" s="8">
        <f t="shared" si="7"/>
        <v>92.45</v>
      </c>
      <c r="U128" s="7">
        <v>525</v>
      </c>
      <c r="V128" s="6">
        <v>160</v>
      </c>
      <c r="W128" s="6">
        <v>14</v>
      </c>
      <c r="X128" s="6" t="s">
        <v>53</v>
      </c>
      <c r="Y128" s="6" t="s">
        <v>73</v>
      </c>
      <c r="Z128" s="6" t="s">
        <v>79</v>
      </c>
      <c r="AA128" s="6" t="s">
        <v>74</v>
      </c>
      <c r="AB128" s="6" t="s">
        <v>37</v>
      </c>
      <c r="AC128" s="6" t="s">
        <v>53</v>
      </c>
      <c r="AD128" s="26" t="s">
        <v>83</v>
      </c>
      <c r="AE128" s="7">
        <v>310</v>
      </c>
      <c r="AF128" s="6">
        <v>407</v>
      </c>
      <c r="AG128" s="10">
        <v>12</v>
      </c>
      <c r="AH128" s="31" t="s">
        <v>54</v>
      </c>
    </row>
    <row r="129" ht="13.9" spans="1:34">
      <c r="A129" s="6">
        <v>2011</v>
      </c>
      <c r="B129" s="7">
        <v>0.4</v>
      </c>
      <c r="C129" s="6">
        <v>0.7</v>
      </c>
      <c r="D129" s="6">
        <v>5.5</v>
      </c>
      <c r="E129" s="6">
        <v>0</v>
      </c>
      <c r="F129" s="6">
        <v>0</v>
      </c>
      <c r="G129" s="6">
        <v>0</v>
      </c>
      <c r="H129" s="6">
        <v>0.15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0.4</v>
      </c>
      <c r="P129" s="6">
        <v>0.4</v>
      </c>
      <c r="Q129" s="6">
        <v>0</v>
      </c>
      <c r="R129" s="6">
        <v>0</v>
      </c>
      <c r="S129" s="6">
        <v>0</v>
      </c>
      <c r="T129" s="8">
        <f t="shared" si="7"/>
        <v>92.45</v>
      </c>
      <c r="U129" s="7">
        <v>525</v>
      </c>
      <c r="V129" s="6">
        <v>25</v>
      </c>
      <c r="W129" s="6">
        <v>0</v>
      </c>
      <c r="X129" s="6" t="s">
        <v>53</v>
      </c>
      <c r="Y129" s="6" t="s">
        <v>73</v>
      </c>
      <c r="Z129" s="6" t="s">
        <v>79</v>
      </c>
      <c r="AA129" s="6" t="s">
        <v>80</v>
      </c>
      <c r="AB129" s="6" t="s">
        <v>37</v>
      </c>
      <c r="AC129" s="6" t="s">
        <v>53</v>
      </c>
      <c r="AD129" s="26" t="s">
        <v>81</v>
      </c>
      <c r="AE129" s="7">
        <v>296</v>
      </c>
      <c r="AF129" s="6">
        <v>379</v>
      </c>
      <c r="AG129" s="10">
        <v>15</v>
      </c>
      <c r="AH129" s="31" t="s">
        <v>54</v>
      </c>
    </row>
    <row r="130" ht="13.9" spans="1:34">
      <c r="A130" s="6">
        <v>2011</v>
      </c>
      <c r="B130" s="7">
        <v>0.4</v>
      </c>
      <c r="C130" s="6">
        <v>0.7</v>
      </c>
      <c r="D130" s="6">
        <v>5.5</v>
      </c>
      <c r="E130" s="6">
        <v>0</v>
      </c>
      <c r="F130" s="6">
        <v>0</v>
      </c>
      <c r="G130" s="6">
        <v>0</v>
      </c>
      <c r="H130" s="6">
        <v>0.15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0.4</v>
      </c>
      <c r="P130" s="6">
        <v>0.4</v>
      </c>
      <c r="Q130" s="6">
        <v>0</v>
      </c>
      <c r="R130" s="6">
        <v>0</v>
      </c>
      <c r="S130" s="6">
        <v>0</v>
      </c>
      <c r="T130" s="8">
        <f t="shared" si="7"/>
        <v>92.45</v>
      </c>
      <c r="U130" s="7">
        <v>525</v>
      </c>
      <c r="V130" s="6">
        <v>160</v>
      </c>
      <c r="W130" s="6">
        <v>14</v>
      </c>
      <c r="X130" s="6" t="s">
        <v>42</v>
      </c>
      <c r="Y130" s="6" t="s">
        <v>73</v>
      </c>
      <c r="Z130" s="6" t="s">
        <v>79</v>
      </c>
      <c r="AA130" s="6" t="s">
        <v>74</v>
      </c>
      <c r="AB130" s="6" t="s">
        <v>37</v>
      </c>
      <c r="AC130" s="6" t="s">
        <v>51</v>
      </c>
      <c r="AD130" s="26" t="s">
        <v>83</v>
      </c>
      <c r="AE130" s="7">
        <v>275</v>
      </c>
      <c r="AF130" s="6">
        <v>370</v>
      </c>
      <c r="AG130" s="10">
        <v>10</v>
      </c>
      <c r="AH130" s="31" t="s">
        <v>54</v>
      </c>
    </row>
    <row r="131" ht="13.9" spans="1:34">
      <c r="A131" s="6">
        <v>2011</v>
      </c>
      <c r="B131" s="7">
        <v>0.4</v>
      </c>
      <c r="C131" s="6">
        <v>0.7</v>
      </c>
      <c r="D131" s="6">
        <v>5.5</v>
      </c>
      <c r="E131" s="6">
        <v>0</v>
      </c>
      <c r="F131" s="6">
        <v>0</v>
      </c>
      <c r="G131" s="6">
        <v>0</v>
      </c>
      <c r="H131" s="6">
        <v>0.15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0.4</v>
      </c>
      <c r="P131" s="6">
        <v>0.4</v>
      </c>
      <c r="Q131" s="6">
        <v>0</v>
      </c>
      <c r="R131" s="6">
        <v>0</v>
      </c>
      <c r="S131" s="6">
        <v>0</v>
      </c>
      <c r="T131" s="8">
        <f t="shared" si="7"/>
        <v>92.45</v>
      </c>
      <c r="U131" s="7">
        <v>525</v>
      </c>
      <c r="V131" s="6">
        <v>160</v>
      </c>
      <c r="W131" s="6">
        <v>14</v>
      </c>
      <c r="X131" s="6" t="s">
        <v>42</v>
      </c>
      <c r="Y131" s="6" t="s">
        <v>73</v>
      </c>
      <c r="Z131" s="6" t="s">
        <v>79</v>
      </c>
      <c r="AA131" s="6" t="s">
        <v>74</v>
      </c>
      <c r="AB131" s="6" t="s">
        <v>37</v>
      </c>
      <c r="AC131" s="6" t="s">
        <v>38</v>
      </c>
      <c r="AD131" s="26" t="s">
        <v>83</v>
      </c>
      <c r="AE131" s="7">
        <v>275</v>
      </c>
      <c r="AF131" s="6">
        <v>370</v>
      </c>
      <c r="AG131" s="10">
        <v>10</v>
      </c>
      <c r="AH131" s="31" t="s">
        <v>54</v>
      </c>
    </row>
    <row r="132" s="5" customFormat="1" ht="13.9" spans="1:34">
      <c r="A132" s="6">
        <v>2011</v>
      </c>
      <c r="B132" s="7">
        <v>0.4</v>
      </c>
      <c r="C132" s="6">
        <v>0.7</v>
      </c>
      <c r="D132" s="6">
        <v>5.5</v>
      </c>
      <c r="E132" s="6">
        <v>0</v>
      </c>
      <c r="F132" s="6">
        <v>0</v>
      </c>
      <c r="G132" s="6">
        <v>0</v>
      </c>
      <c r="H132" s="6">
        <v>0.15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0.4</v>
      </c>
      <c r="P132" s="6">
        <v>0.4</v>
      </c>
      <c r="Q132" s="6">
        <v>0</v>
      </c>
      <c r="R132" s="6">
        <v>0</v>
      </c>
      <c r="S132" s="6">
        <v>0</v>
      </c>
      <c r="T132" s="8">
        <f t="shared" si="7"/>
        <v>92.45</v>
      </c>
      <c r="U132" s="7">
        <v>525</v>
      </c>
      <c r="V132" s="6">
        <v>25</v>
      </c>
      <c r="W132" s="6">
        <v>0</v>
      </c>
      <c r="X132" s="6" t="s">
        <v>42</v>
      </c>
      <c r="Y132" s="6" t="s">
        <v>73</v>
      </c>
      <c r="Z132" s="6" t="s">
        <v>79</v>
      </c>
      <c r="AA132" s="6" t="s">
        <v>80</v>
      </c>
      <c r="AB132" s="6" t="s">
        <v>37</v>
      </c>
      <c r="AC132" s="6" t="s">
        <v>51</v>
      </c>
      <c r="AD132" s="26" t="s">
        <v>81</v>
      </c>
      <c r="AE132" s="7">
        <v>249</v>
      </c>
      <c r="AF132" s="6">
        <v>319</v>
      </c>
      <c r="AG132" s="34">
        <v>13</v>
      </c>
      <c r="AH132" s="31" t="s">
        <v>54</v>
      </c>
    </row>
    <row r="133" s="5" customFormat="1" ht="13.9" spans="1:34">
      <c r="A133" s="6">
        <v>2011</v>
      </c>
      <c r="B133" s="7">
        <v>0.4</v>
      </c>
      <c r="C133" s="6">
        <v>0.7</v>
      </c>
      <c r="D133" s="6">
        <v>5.5</v>
      </c>
      <c r="E133" s="6">
        <v>0</v>
      </c>
      <c r="F133" s="6">
        <v>0</v>
      </c>
      <c r="G133" s="6">
        <v>0</v>
      </c>
      <c r="H133" s="6">
        <v>0.15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0.4</v>
      </c>
      <c r="P133" s="6">
        <v>0.4</v>
      </c>
      <c r="Q133" s="6">
        <v>0</v>
      </c>
      <c r="R133" s="6">
        <v>0</v>
      </c>
      <c r="S133" s="6">
        <v>0</v>
      </c>
      <c r="T133" s="8">
        <f t="shared" si="7"/>
        <v>92.45</v>
      </c>
      <c r="U133" s="7">
        <v>525</v>
      </c>
      <c r="V133" s="6">
        <v>25</v>
      </c>
      <c r="W133" s="6">
        <v>0</v>
      </c>
      <c r="X133" s="6" t="s">
        <v>42</v>
      </c>
      <c r="Y133" s="6" t="s">
        <v>73</v>
      </c>
      <c r="Z133" s="6" t="s">
        <v>79</v>
      </c>
      <c r="AA133" s="6" t="s">
        <v>80</v>
      </c>
      <c r="AB133" s="6" t="s">
        <v>37</v>
      </c>
      <c r="AC133" s="6" t="s">
        <v>38</v>
      </c>
      <c r="AD133" s="26" t="s">
        <v>81</v>
      </c>
      <c r="AE133" s="7">
        <v>249</v>
      </c>
      <c r="AF133" s="6">
        <v>319</v>
      </c>
      <c r="AG133" s="34">
        <v>13</v>
      </c>
      <c r="AH133" s="31" t="s">
        <v>54</v>
      </c>
    </row>
    <row r="134" s="5" customFormat="1" ht="13.9" spans="1:34">
      <c r="A134" s="6">
        <v>2011</v>
      </c>
      <c r="B134" s="7">
        <v>0.4</v>
      </c>
      <c r="C134" s="6">
        <v>0.7</v>
      </c>
      <c r="D134" s="6">
        <v>5.5</v>
      </c>
      <c r="E134" s="6">
        <v>0</v>
      </c>
      <c r="F134" s="6">
        <v>0</v>
      </c>
      <c r="G134" s="6">
        <v>0</v>
      </c>
      <c r="H134" s="6">
        <v>0.15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0.4</v>
      </c>
      <c r="P134" s="6">
        <v>0.4</v>
      </c>
      <c r="Q134" s="6">
        <v>0</v>
      </c>
      <c r="R134" s="6">
        <v>0</v>
      </c>
      <c r="S134" s="6">
        <v>0</v>
      </c>
      <c r="T134" s="8">
        <f t="shared" si="7"/>
        <v>92.45</v>
      </c>
      <c r="U134" s="7">
        <v>525</v>
      </c>
      <c r="V134" s="6">
        <v>25</v>
      </c>
      <c r="W134" s="6">
        <v>0</v>
      </c>
      <c r="X134" s="6" t="s">
        <v>42</v>
      </c>
      <c r="Y134" s="6" t="s">
        <v>73</v>
      </c>
      <c r="Z134" s="6" t="s">
        <v>84</v>
      </c>
      <c r="AA134" s="6" t="s">
        <v>80</v>
      </c>
      <c r="AB134" s="6" t="s">
        <v>37</v>
      </c>
      <c r="AC134" s="6" t="s">
        <v>51</v>
      </c>
      <c r="AD134" s="26" t="s">
        <v>85</v>
      </c>
      <c r="AE134" s="7">
        <v>125</v>
      </c>
      <c r="AF134" s="6">
        <v>275</v>
      </c>
      <c r="AG134" s="10">
        <v>16</v>
      </c>
      <c r="AH134" s="31" t="s">
        <v>54</v>
      </c>
    </row>
    <row r="135" ht="13.9" spans="1:34">
      <c r="A135" s="6">
        <v>2011</v>
      </c>
      <c r="B135" s="7">
        <v>0.4</v>
      </c>
      <c r="C135" s="6">
        <v>0.7</v>
      </c>
      <c r="D135" s="6">
        <v>5.5</v>
      </c>
      <c r="E135" s="6">
        <v>0</v>
      </c>
      <c r="F135" s="6">
        <v>0</v>
      </c>
      <c r="G135" s="6">
        <v>0</v>
      </c>
      <c r="H135" s="6">
        <v>0.15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0.4</v>
      </c>
      <c r="P135" s="6">
        <v>0.4</v>
      </c>
      <c r="Q135" s="6">
        <v>0</v>
      </c>
      <c r="R135" s="6">
        <v>0</v>
      </c>
      <c r="S135" s="6">
        <v>0</v>
      </c>
      <c r="T135" s="8">
        <f t="shared" si="7"/>
        <v>92.45</v>
      </c>
      <c r="U135" s="7">
        <v>525</v>
      </c>
      <c r="V135" s="6">
        <v>25</v>
      </c>
      <c r="W135" s="6">
        <v>0</v>
      </c>
      <c r="X135" s="6" t="s">
        <v>42</v>
      </c>
      <c r="Y135" s="6" t="s">
        <v>73</v>
      </c>
      <c r="Z135" s="6" t="s">
        <v>37</v>
      </c>
      <c r="AA135" s="6" t="s">
        <v>80</v>
      </c>
      <c r="AB135" s="6" t="s">
        <v>37</v>
      </c>
      <c r="AC135" s="6" t="s">
        <v>51</v>
      </c>
      <c r="AD135" s="26" t="s">
        <v>86</v>
      </c>
      <c r="AE135" s="7">
        <v>125</v>
      </c>
      <c r="AF135" s="6">
        <v>275</v>
      </c>
      <c r="AG135" s="10">
        <v>16</v>
      </c>
      <c r="AH135" s="31" t="s">
        <v>54</v>
      </c>
    </row>
    <row r="136" ht="13.9" spans="1:34">
      <c r="A136" s="6">
        <v>2011</v>
      </c>
      <c r="B136" s="7">
        <v>0.4</v>
      </c>
      <c r="C136" s="6">
        <v>0.7</v>
      </c>
      <c r="D136" s="6">
        <v>5.5</v>
      </c>
      <c r="E136" s="6">
        <v>0</v>
      </c>
      <c r="F136" s="6">
        <v>0</v>
      </c>
      <c r="G136" s="6">
        <v>0</v>
      </c>
      <c r="H136" s="6">
        <v>0.15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0.4</v>
      </c>
      <c r="P136" s="6">
        <v>0.4</v>
      </c>
      <c r="Q136" s="6">
        <v>0</v>
      </c>
      <c r="R136" s="6">
        <v>0</v>
      </c>
      <c r="S136" s="6">
        <v>0</v>
      </c>
      <c r="T136" s="8">
        <f t="shared" si="7"/>
        <v>92.45</v>
      </c>
      <c r="U136" s="7">
        <v>525</v>
      </c>
      <c r="V136" s="6">
        <v>25</v>
      </c>
      <c r="W136" s="6">
        <v>0</v>
      </c>
      <c r="X136" s="6" t="s">
        <v>42</v>
      </c>
      <c r="Y136" s="6" t="s">
        <v>73</v>
      </c>
      <c r="Z136" s="6" t="s">
        <v>84</v>
      </c>
      <c r="AA136" s="6" t="s">
        <v>80</v>
      </c>
      <c r="AB136" s="6" t="s">
        <v>37</v>
      </c>
      <c r="AC136" s="6" t="s">
        <v>69</v>
      </c>
      <c r="AD136" s="26" t="s">
        <v>85</v>
      </c>
      <c r="AE136" s="7">
        <v>125</v>
      </c>
      <c r="AF136" s="6">
        <v>275</v>
      </c>
      <c r="AG136" s="10">
        <v>16</v>
      </c>
      <c r="AH136" s="31" t="s">
        <v>54</v>
      </c>
    </row>
    <row r="137" ht="13.9" spans="1:34">
      <c r="A137" s="6">
        <v>2011</v>
      </c>
      <c r="B137" s="7">
        <v>0.4</v>
      </c>
      <c r="C137" s="6">
        <v>0.7</v>
      </c>
      <c r="D137" s="6">
        <v>5.5</v>
      </c>
      <c r="E137" s="6">
        <v>0</v>
      </c>
      <c r="F137" s="6">
        <v>0</v>
      </c>
      <c r="G137" s="6">
        <v>0</v>
      </c>
      <c r="H137" s="6">
        <v>0.15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0.4</v>
      </c>
      <c r="P137" s="6">
        <v>0.4</v>
      </c>
      <c r="Q137" s="6">
        <v>0</v>
      </c>
      <c r="R137" s="6">
        <v>0</v>
      </c>
      <c r="S137" s="6">
        <v>0</v>
      </c>
      <c r="T137" s="8">
        <f t="shared" si="7"/>
        <v>92.45</v>
      </c>
      <c r="U137" s="7">
        <v>525</v>
      </c>
      <c r="V137" s="6">
        <v>25</v>
      </c>
      <c r="W137" s="6">
        <v>0</v>
      </c>
      <c r="X137" s="6" t="s">
        <v>42</v>
      </c>
      <c r="Y137" s="6" t="s">
        <v>73</v>
      </c>
      <c r="Z137" s="6" t="s">
        <v>37</v>
      </c>
      <c r="AA137" s="6" t="s">
        <v>80</v>
      </c>
      <c r="AB137" s="6" t="s">
        <v>37</v>
      </c>
      <c r="AC137" s="6" t="s">
        <v>69</v>
      </c>
      <c r="AD137" s="26" t="s">
        <v>86</v>
      </c>
      <c r="AE137" s="7">
        <v>125</v>
      </c>
      <c r="AF137" s="6">
        <v>275</v>
      </c>
      <c r="AG137" s="10">
        <v>14</v>
      </c>
      <c r="AH137" s="31" t="s">
        <v>54</v>
      </c>
    </row>
    <row r="138" ht="13.9" spans="1:34">
      <c r="A138" s="6">
        <v>2011</v>
      </c>
      <c r="B138" s="7">
        <v>0.4</v>
      </c>
      <c r="C138" s="6">
        <v>0.7</v>
      </c>
      <c r="D138" s="6">
        <v>5.5</v>
      </c>
      <c r="E138" s="6">
        <v>0</v>
      </c>
      <c r="F138" s="6">
        <v>0</v>
      </c>
      <c r="G138" s="6">
        <v>0</v>
      </c>
      <c r="H138" s="6">
        <v>0.15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0.4</v>
      </c>
      <c r="P138" s="6">
        <v>0.4</v>
      </c>
      <c r="Q138" s="6">
        <v>0</v>
      </c>
      <c r="R138" s="6">
        <v>0</v>
      </c>
      <c r="S138" s="6">
        <v>0</v>
      </c>
      <c r="T138" s="8">
        <f t="shared" si="7"/>
        <v>92.45</v>
      </c>
      <c r="U138" s="7">
        <v>525</v>
      </c>
      <c r="V138" s="6">
        <v>25</v>
      </c>
      <c r="W138" s="6">
        <v>0</v>
      </c>
      <c r="X138" s="6" t="s">
        <v>42</v>
      </c>
      <c r="Y138" s="6" t="s">
        <v>73</v>
      </c>
      <c r="Z138" s="6" t="s">
        <v>84</v>
      </c>
      <c r="AA138" s="6" t="s">
        <v>80</v>
      </c>
      <c r="AB138" s="6" t="s">
        <v>37</v>
      </c>
      <c r="AC138" s="6" t="s">
        <v>38</v>
      </c>
      <c r="AD138" s="26" t="s">
        <v>85</v>
      </c>
      <c r="AE138" s="7">
        <v>125</v>
      </c>
      <c r="AF138" s="6">
        <v>275</v>
      </c>
      <c r="AG138" s="10">
        <v>16</v>
      </c>
      <c r="AH138" s="31" t="s">
        <v>54</v>
      </c>
    </row>
    <row r="139" ht="13.9" spans="1:34">
      <c r="A139" s="6">
        <v>2011</v>
      </c>
      <c r="B139" s="7">
        <v>0.4</v>
      </c>
      <c r="C139" s="6">
        <v>0.7</v>
      </c>
      <c r="D139" s="6">
        <v>5.5</v>
      </c>
      <c r="E139" s="6">
        <v>0</v>
      </c>
      <c r="F139" s="6">
        <v>0</v>
      </c>
      <c r="G139" s="6">
        <v>0</v>
      </c>
      <c r="H139" s="6">
        <v>0.15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0.4</v>
      </c>
      <c r="P139" s="6">
        <v>0.4</v>
      </c>
      <c r="Q139" s="6">
        <v>0</v>
      </c>
      <c r="R139" s="6">
        <v>0</v>
      </c>
      <c r="S139" s="6">
        <v>0</v>
      </c>
      <c r="T139" s="8">
        <f t="shared" si="7"/>
        <v>92.45</v>
      </c>
      <c r="U139" s="7">
        <v>525</v>
      </c>
      <c r="V139" s="6">
        <v>25</v>
      </c>
      <c r="W139" s="6">
        <v>0</v>
      </c>
      <c r="X139" s="6" t="s">
        <v>42</v>
      </c>
      <c r="Y139" s="6" t="s">
        <v>73</v>
      </c>
      <c r="Z139" s="6" t="s">
        <v>37</v>
      </c>
      <c r="AA139" s="6" t="s">
        <v>80</v>
      </c>
      <c r="AB139" s="6" t="s">
        <v>37</v>
      </c>
      <c r="AC139" s="6" t="s">
        <v>38</v>
      </c>
      <c r="AD139" s="26" t="s">
        <v>86</v>
      </c>
      <c r="AE139" s="7">
        <v>125</v>
      </c>
      <c r="AF139" s="6">
        <v>275</v>
      </c>
      <c r="AG139" s="10">
        <v>16</v>
      </c>
      <c r="AH139" s="31" t="s">
        <v>54</v>
      </c>
    </row>
    <row r="140" ht="13.9" spans="1:34">
      <c r="A140" s="6">
        <v>2011</v>
      </c>
      <c r="B140" s="7">
        <v>0.4</v>
      </c>
      <c r="C140" s="6">
        <v>0.7</v>
      </c>
      <c r="D140" s="6">
        <v>5.5</v>
      </c>
      <c r="E140" s="6">
        <v>0</v>
      </c>
      <c r="F140" s="6">
        <v>0</v>
      </c>
      <c r="G140" s="6">
        <v>0</v>
      </c>
      <c r="H140" s="6">
        <v>0.15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0.4</v>
      </c>
      <c r="P140" s="6">
        <v>0.4</v>
      </c>
      <c r="Q140" s="6">
        <v>0</v>
      </c>
      <c r="R140" s="6">
        <v>0</v>
      </c>
      <c r="S140" s="6">
        <v>0</v>
      </c>
      <c r="T140" s="8">
        <f t="shared" si="7"/>
        <v>92.45</v>
      </c>
      <c r="U140" s="7">
        <v>524</v>
      </c>
      <c r="V140" s="6">
        <v>160</v>
      </c>
      <c r="W140" s="6">
        <v>14</v>
      </c>
      <c r="X140" s="6" t="s">
        <v>42</v>
      </c>
      <c r="Y140" s="6" t="s">
        <v>73</v>
      </c>
      <c r="Z140" s="6" t="s">
        <v>37</v>
      </c>
      <c r="AA140" s="6" t="s">
        <v>74</v>
      </c>
      <c r="AB140" s="6" t="s">
        <v>37</v>
      </c>
      <c r="AC140" s="6" t="s">
        <v>51</v>
      </c>
      <c r="AD140" s="26" t="s">
        <v>77</v>
      </c>
      <c r="AE140" s="7">
        <v>270</v>
      </c>
      <c r="AF140" s="6">
        <v>395</v>
      </c>
      <c r="AG140" s="10">
        <v>17</v>
      </c>
      <c r="AH140" s="11" t="s">
        <v>87</v>
      </c>
    </row>
    <row r="141" ht="13.9" spans="1:34">
      <c r="A141" s="6">
        <v>2011</v>
      </c>
      <c r="B141" s="7">
        <v>0.4</v>
      </c>
      <c r="C141" s="6">
        <v>0.7</v>
      </c>
      <c r="D141" s="6">
        <v>5.5</v>
      </c>
      <c r="E141" s="6">
        <v>0</v>
      </c>
      <c r="F141" s="6">
        <v>0</v>
      </c>
      <c r="G141" s="6">
        <v>0</v>
      </c>
      <c r="H141" s="6">
        <v>0.15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0.4</v>
      </c>
      <c r="P141" s="6">
        <v>0.4</v>
      </c>
      <c r="Q141" s="6">
        <v>0</v>
      </c>
      <c r="R141" s="6">
        <v>0</v>
      </c>
      <c r="S141" s="6">
        <v>0</v>
      </c>
      <c r="T141" s="8">
        <f t="shared" si="7"/>
        <v>92.45</v>
      </c>
      <c r="U141" s="7">
        <v>524</v>
      </c>
      <c r="V141" s="6">
        <v>160</v>
      </c>
      <c r="W141" s="6">
        <v>14</v>
      </c>
      <c r="X141" s="6" t="s">
        <v>42</v>
      </c>
      <c r="Y141" s="6" t="s">
        <v>73</v>
      </c>
      <c r="Z141" s="6" t="s">
        <v>37</v>
      </c>
      <c r="AA141" s="6" t="s">
        <v>74</v>
      </c>
      <c r="AB141" s="6" t="s">
        <v>37</v>
      </c>
      <c r="AC141" s="6" t="s">
        <v>69</v>
      </c>
      <c r="AD141" s="26" t="s">
        <v>77</v>
      </c>
      <c r="AE141" s="7">
        <v>270</v>
      </c>
      <c r="AF141" s="6">
        <v>395</v>
      </c>
      <c r="AG141" s="10">
        <v>17</v>
      </c>
      <c r="AH141" s="11" t="s">
        <v>87</v>
      </c>
    </row>
    <row r="142" ht="13.9" spans="1:34">
      <c r="A142" s="6">
        <v>2011</v>
      </c>
      <c r="B142" s="7">
        <v>0.4</v>
      </c>
      <c r="C142" s="6">
        <v>0.7</v>
      </c>
      <c r="D142" s="6">
        <v>5.5</v>
      </c>
      <c r="E142" s="6">
        <v>0</v>
      </c>
      <c r="F142" s="6">
        <v>0</v>
      </c>
      <c r="G142" s="6">
        <v>0</v>
      </c>
      <c r="H142" s="6">
        <v>0.15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0.4</v>
      </c>
      <c r="P142" s="6">
        <v>0.4</v>
      </c>
      <c r="Q142" s="6">
        <v>0</v>
      </c>
      <c r="R142" s="6">
        <v>0</v>
      </c>
      <c r="S142" s="6">
        <v>0</v>
      </c>
      <c r="T142" s="8">
        <f t="shared" si="7"/>
        <v>92.45</v>
      </c>
      <c r="U142" s="7">
        <v>524</v>
      </c>
      <c r="V142" s="6">
        <v>160</v>
      </c>
      <c r="W142" s="6">
        <v>14</v>
      </c>
      <c r="X142" s="6" t="s">
        <v>42</v>
      </c>
      <c r="Y142" s="6" t="s">
        <v>73</v>
      </c>
      <c r="Z142" s="6" t="s">
        <v>37</v>
      </c>
      <c r="AA142" s="6" t="s">
        <v>74</v>
      </c>
      <c r="AB142" s="6" t="s">
        <v>37</v>
      </c>
      <c r="AC142" s="6" t="s">
        <v>38</v>
      </c>
      <c r="AD142" s="26" t="s">
        <v>77</v>
      </c>
      <c r="AE142" s="7">
        <v>270</v>
      </c>
      <c r="AF142" s="6">
        <v>395</v>
      </c>
      <c r="AG142" s="10">
        <v>17</v>
      </c>
      <c r="AH142" s="11" t="s">
        <v>87</v>
      </c>
    </row>
    <row r="143" ht="13.9" spans="1:34">
      <c r="A143" s="6">
        <v>2011</v>
      </c>
      <c r="B143" s="7">
        <v>0.4</v>
      </c>
      <c r="C143" s="6">
        <v>0.7</v>
      </c>
      <c r="D143" s="6">
        <v>5.5</v>
      </c>
      <c r="E143" s="6">
        <v>0</v>
      </c>
      <c r="F143" s="6">
        <v>0</v>
      </c>
      <c r="G143" s="6">
        <v>0</v>
      </c>
      <c r="H143" s="6">
        <v>0.15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0.4</v>
      </c>
      <c r="P143" s="6">
        <v>0.4</v>
      </c>
      <c r="Q143" s="6">
        <v>0</v>
      </c>
      <c r="R143" s="6">
        <v>0</v>
      </c>
      <c r="S143" s="6">
        <v>0</v>
      </c>
      <c r="T143" s="8">
        <f t="shared" si="7"/>
        <v>92.45</v>
      </c>
      <c r="U143" s="7">
        <v>525</v>
      </c>
      <c r="V143" s="6">
        <v>160</v>
      </c>
      <c r="W143" s="6">
        <v>14</v>
      </c>
      <c r="X143" s="6" t="s">
        <v>53</v>
      </c>
      <c r="Y143" s="6" t="s">
        <v>73</v>
      </c>
      <c r="Z143" s="6" t="s">
        <v>37</v>
      </c>
      <c r="AA143" s="6" t="s">
        <v>74</v>
      </c>
      <c r="AB143" s="6" t="s">
        <v>37</v>
      </c>
      <c r="AC143" s="6" t="s">
        <v>53</v>
      </c>
      <c r="AD143" s="26" t="s">
        <v>77</v>
      </c>
      <c r="AE143" s="7">
        <v>295</v>
      </c>
      <c r="AF143" s="6">
        <v>390</v>
      </c>
      <c r="AG143" s="10">
        <v>17</v>
      </c>
      <c r="AH143" s="31" t="s">
        <v>88</v>
      </c>
    </row>
    <row r="144" ht="13.9" spans="1:34">
      <c r="A144" s="6">
        <v>2011</v>
      </c>
      <c r="B144" s="7">
        <v>0.4</v>
      </c>
      <c r="C144" s="6">
        <v>0.7</v>
      </c>
      <c r="D144" s="6">
        <v>5.5</v>
      </c>
      <c r="E144" s="6">
        <v>0</v>
      </c>
      <c r="F144" s="6">
        <v>0</v>
      </c>
      <c r="G144" s="6">
        <v>0</v>
      </c>
      <c r="H144" s="6">
        <v>0.15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0.4</v>
      </c>
      <c r="P144" s="6">
        <v>0.4</v>
      </c>
      <c r="Q144" s="6">
        <v>0</v>
      </c>
      <c r="R144" s="6">
        <v>0</v>
      </c>
      <c r="S144" s="6">
        <v>0</v>
      </c>
      <c r="T144" s="8">
        <f t="shared" si="7"/>
        <v>92.45</v>
      </c>
      <c r="U144" s="7">
        <v>510</v>
      </c>
      <c r="V144" s="6">
        <v>160</v>
      </c>
      <c r="W144" s="6">
        <v>15</v>
      </c>
      <c r="X144" s="6" t="s">
        <v>42</v>
      </c>
      <c r="Y144" s="6" t="s">
        <v>73</v>
      </c>
      <c r="Z144" s="6" t="s">
        <v>79</v>
      </c>
      <c r="AA144" s="6" t="s">
        <v>74</v>
      </c>
      <c r="AB144" s="6" t="s">
        <v>37</v>
      </c>
      <c r="AC144" s="6" t="s">
        <v>51</v>
      </c>
      <c r="AD144" s="26" t="s">
        <v>83</v>
      </c>
      <c r="AE144" s="7">
        <v>310</v>
      </c>
      <c r="AF144" s="6">
        <v>407</v>
      </c>
      <c r="AG144" s="10" t="s">
        <v>40</v>
      </c>
      <c r="AH144" s="11" t="s">
        <v>89</v>
      </c>
    </row>
    <row r="145" ht="13.9" spans="1:34">
      <c r="A145" s="6">
        <v>2011</v>
      </c>
      <c r="B145" s="7">
        <v>0.4</v>
      </c>
      <c r="C145" s="6">
        <v>0.7</v>
      </c>
      <c r="D145" s="6">
        <v>5.5</v>
      </c>
      <c r="E145" s="6">
        <v>0</v>
      </c>
      <c r="F145" s="6">
        <v>0</v>
      </c>
      <c r="G145" s="6">
        <v>0</v>
      </c>
      <c r="H145" s="6">
        <v>0.15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0.4</v>
      </c>
      <c r="P145" s="6">
        <v>0.4</v>
      </c>
      <c r="Q145" s="6">
        <v>0</v>
      </c>
      <c r="R145" s="6">
        <v>0</v>
      </c>
      <c r="S145" s="6">
        <v>0</v>
      </c>
      <c r="T145" s="8">
        <f t="shared" si="7"/>
        <v>92.45</v>
      </c>
      <c r="U145" s="7">
        <v>525</v>
      </c>
      <c r="V145" s="6">
        <v>160</v>
      </c>
      <c r="W145" s="6">
        <v>14</v>
      </c>
      <c r="X145" s="6" t="s">
        <v>42</v>
      </c>
      <c r="Y145" s="6" t="s">
        <v>73</v>
      </c>
      <c r="Z145" s="6" t="s">
        <v>37</v>
      </c>
      <c r="AA145" s="6" t="s">
        <v>74</v>
      </c>
      <c r="AB145" s="6" t="s">
        <v>37</v>
      </c>
      <c r="AC145" s="6" t="s">
        <v>51</v>
      </c>
      <c r="AD145" s="26" t="s">
        <v>77</v>
      </c>
      <c r="AE145" s="7">
        <v>300</v>
      </c>
      <c r="AF145" s="6">
        <v>395</v>
      </c>
      <c r="AG145" s="10">
        <v>12</v>
      </c>
      <c r="AH145" s="11" t="s">
        <v>89</v>
      </c>
    </row>
    <row r="146" s="3" customFormat="1" ht="13.9" spans="1:34">
      <c r="A146" s="3">
        <v>2011</v>
      </c>
      <c r="B146" s="16">
        <v>0.4</v>
      </c>
      <c r="C146" s="3">
        <v>0.7</v>
      </c>
      <c r="D146" s="3">
        <v>5.5</v>
      </c>
      <c r="E146" s="3">
        <v>0</v>
      </c>
      <c r="F146" s="3">
        <v>0</v>
      </c>
      <c r="G146" s="3">
        <v>0</v>
      </c>
      <c r="H146" s="3">
        <v>0.15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0.4</v>
      </c>
      <c r="P146" s="3">
        <v>0.4</v>
      </c>
      <c r="Q146" s="3">
        <v>0</v>
      </c>
      <c r="R146" s="3">
        <v>0</v>
      </c>
      <c r="S146" s="3">
        <v>0</v>
      </c>
      <c r="T146" s="22">
        <f t="shared" si="7"/>
        <v>92.45</v>
      </c>
      <c r="U146" s="16">
        <v>510</v>
      </c>
      <c r="V146" s="3">
        <v>25</v>
      </c>
      <c r="W146" s="3">
        <v>0</v>
      </c>
      <c r="X146" s="3" t="s">
        <v>42</v>
      </c>
      <c r="Y146" s="3" t="s">
        <v>73</v>
      </c>
      <c r="Z146" s="3" t="s">
        <v>79</v>
      </c>
      <c r="AA146" s="3" t="s">
        <v>80</v>
      </c>
      <c r="AB146" s="3" t="s">
        <v>37</v>
      </c>
      <c r="AC146" s="3" t="s">
        <v>51</v>
      </c>
      <c r="AD146" s="27" t="s">
        <v>81</v>
      </c>
      <c r="AE146" s="16">
        <v>296</v>
      </c>
      <c r="AF146" s="3">
        <v>379</v>
      </c>
      <c r="AG146" s="32" t="s">
        <v>40</v>
      </c>
      <c r="AH146" s="43" t="s">
        <v>89</v>
      </c>
    </row>
    <row r="147" ht="13.9" spans="1:34">
      <c r="A147" s="6">
        <v>2014</v>
      </c>
      <c r="B147" s="7">
        <v>0.8</v>
      </c>
      <c r="C147" s="6">
        <v>0</v>
      </c>
      <c r="D147" s="6">
        <v>4.4</v>
      </c>
      <c r="E147" s="6">
        <v>0.75</v>
      </c>
      <c r="F147" s="6">
        <v>0.7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8">
        <f t="shared" si="7"/>
        <v>93.35</v>
      </c>
      <c r="U147" s="7">
        <v>505</v>
      </c>
      <c r="V147" s="6">
        <v>172.5</v>
      </c>
      <c r="W147" s="6">
        <v>12.5</v>
      </c>
      <c r="X147" s="6" t="s">
        <v>42</v>
      </c>
      <c r="Y147" s="6" t="s">
        <v>73</v>
      </c>
      <c r="Z147" s="6" t="s">
        <v>37</v>
      </c>
      <c r="AA147" s="6" t="s">
        <v>74</v>
      </c>
      <c r="AB147" s="6" t="s">
        <v>37</v>
      </c>
      <c r="AC147" s="6" t="s">
        <v>51</v>
      </c>
      <c r="AD147" s="26" t="s">
        <v>83</v>
      </c>
      <c r="AE147" s="7">
        <v>465</v>
      </c>
      <c r="AF147" s="6">
        <v>500</v>
      </c>
      <c r="AG147" s="10">
        <v>10</v>
      </c>
      <c r="AH147" s="31" t="s">
        <v>41</v>
      </c>
    </row>
    <row r="148" ht="13.9" spans="1:34">
      <c r="A148" s="6">
        <v>2014</v>
      </c>
      <c r="B148" s="7">
        <v>0.8</v>
      </c>
      <c r="C148" s="6">
        <v>0</v>
      </c>
      <c r="D148" s="6">
        <v>4.4</v>
      </c>
      <c r="E148" s="6">
        <v>0.75</v>
      </c>
      <c r="F148" s="6">
        <v>0.7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8">
        <f t="shared" si="7"/>
        <v>93.35</v>
      </c>
      <c r="U148" s="7">
        <v>505</v>
      </c>
      <c r="V148" s="6">
        <v>172.5</v>
      </c>
      <c r="W148" s="6">
        <v>12.5</v>
      </c>
      <c r="X148" s="6" t="s">
        <v>44</v>
      </c>
      <c r="Y148" s="6" t="s">
        <v>73</v>
      </c>
      <c r="Z148" s="6" t="s">
        <v>84</v>
      </c>
      <c r="AA148" s="6" t="s">
        <v>74</v>
      </c>
      <c r="AB148" s="6" t="s">
        <v>37</v>
      </c>
      <c r="AC148" s="6" t="s">
        <v>51</v>
      </c>
      <c r="AD148" s="26" t="s">
        <v>90</v>
      </c>
      <c r="AE148" s="7">
        <v>440</v>
      </c>
      <c r="AF148" s="6">
        <v>490</v>
      </c>
      <c r="AG148" s="10">
        <v>8</v>
      </c>
      <c r="AH148" s="31" t="s">
        <v>41</v>
      </c>
    </row>
    <row r="149" ht="13.9" spans="1:34">
      <c r="A149" s="6">
        <v>2014</v>
      </c>
      <c r="B149" s="7">
        <v>0.8</v>
      </c>
      <c r="C149" s="6">
        <v>0</v>
      </c>
      <c r="D149" s="6">
        <v>4.4</v>
      </c>
      <c r="E149" s="6">
        <v>0.8</v>
      </c>
      <c r="F149" s="6">
        <v>0.4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8">
        <f t="shared" si="7"/>
        <v>93.6</v>
      </c>
      <c r="U149" s="7">
        <v>505</v>
      </c>
      <c r="V149" s="6">
        <v>172.5</v>
      </c>
      <c r="W149" s="6">
        <v>12.5</v>
      </c>
      <c r="X149" s="6" t="s">
        <v>53</v>
      </c>
      <c r="Y149" s="6" t="s">
        <v>73</v>
      </c>
      <c r="Z149" s="6" t="s">
        <v>37</v>
      </c>
      <c r="AA149" s="6" t="s">
        <v>74</v>
      </c>
      <c r="AB149" s="6" t="s">
        <v>37</v>
      </c>
      <c r="AC149" s="6" t="s">
        <v>53</v>
      </c>
      <c r="AD149" s="26" t="s">
        <v>77</v>
      </c>
      <c r="AE149" s="7">
        <v>415</v>
      </c>
      <c r="AF149" s="6">
        <v>485</v>
      </c>
      <c r="AG149" s="10">
        <v>13</v>
      </c>
      <c r="AH149" s="31" t="s">
        <v>41</v>
      </c>
    </row>
    <row r="150" ht="13.9" spans="1:34">
      <c r="A150" s="6">
        <v>2014</v>
      </c>
      <c r="B150" s="7">
        <v>0.8</v>
      </c>
      <c r="C150" s="6">
        <v>0</v>
      </c>
      <c r="D150" s="6">
        <v>4.4</v>
      </c>
      <c r="E150" s="6">
        <v>0.75</v>
      </c>
      <c r="F150" s="6">
        <v>0.7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8">
        <f t="shared" si="7"/>
        <v>93.35</v>
      </c>
      <c r="U150" s="7">
        <v>505</v>
      </c>
      <c r="V150" s="6">
        <v>172.5</v>
      </c>
      <c r="W150" s="6">
        <v>12.5</v>
      </c>
      <c r="X150" s="6" t="s">
        <v>42</v>
      </c>
      <c r="Y150" s="6" t="s">
        <v>73</v>
      </c>
      <c r="Z150" s="6" t="s">
        <v>84</v>
      </c>
      <c r="AA150" s="6" t="s">
        <v>74</v>
      </c>
      <c r="AB150" s="6" t="s">
        <v>37</v>
      </c>
      <c r="AC150" s="6" t="s">
        <v>59</v>
      </c>
      <c r="AD150" s="26" t="s">
        <v>90</v>
      </c>
      <c r="AE150" s="7">
        <v>415</v>
      </c>
      <c r="AF150" s="6">
        <v>485</v>
      </c>
      <c r="AG150" s="10">
        <v>10</v>
      </c>
      <c r="AH150" s="31" t="s">
        <v>41</v>
      </c>
    </row>
    <row r="151" ht="13.9" spans="1:34">
      <c r="A151" s="6">
        <v>2014</v>
      </c>
      <c r="B151" s="7">
        <v>0.8</v>
      </c>
      <c r="C151" s="6">
        <v>0</v>
      </c>
      <c r="D151" s="6">
        <v>4.5</v>
      </c>
      <c r="E151" s="6">
        <v>0.8</v>
      </c>
      <c r="F151" s="6">
        <v>0.5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8">
        <f t="shared" si="7"/>
        <v>93.4</v>
      </c>
      <c r="U151" s="7">
        <v>505</v>
      </c>
      <c r="V151" s="6">
        <v>172.5</v>
      </c>
      <c r="W151" s="6">
        <v>12.5</v>
      </c>
      <c r="X151" s="6" t="s">
        <v>42</v>
      </c>
      <c r="Y151" s="6" t="s">
        <v>73</v>
      </c>
      <c r="Z151" s="6" t="s">
        <v>37</v>
      </c>
      <c r="AA151" s="6" t="s">
        <v>74</v>
      </c>
      <c r="AB151" s="6" t="s">
        <v>37</v>
      </c>
      <c r="AC151" s="6" t="s">
        <v>69</v>
      </c>
      <c r="AD151" s="26" t="s">
        <v>77</v>
      </c>
      <c r="AE151" s="7">
        <v>415</v>
      </c>
      <c r="AF151" s="6">
        <v>485</v>
      </c>
      <c r="AG151" s="10">
        <v>13</v>
      </c>
      <c r="AH151" s="31" t="s">
        <v>41</v>
      </c>
    </row>
    <row r="152" ht="13.9" spans="1:34">
      <c r="A152" s="6">
        <v>2014</v>
      </c>
      <c r="B152" s="7">
        <v>0.8</v>
      </c>
      <c r="C152" s="6">
        <v>0</v>
      </c>
      <c r="D152" s="6">
        <v>4.4</v>
      </c>
      <c r="E152" s="6">
        <v>0.75</v>
      </c>
      <c r="F152" s="6">
        <v>0.7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8">
        <f t="shared" si="7"/>
        <v>93.35</v>
      </c>
      <c r="U152" s="7">
        <v>505</v>
      </c>
      <c r="V152" s="6">
        <v>172.5</v>
      </c>
      <c r="W152" s="6">
        <v>12.5</v>
      </c>
      <c r="X152" s="6" t="s">
        <v>44</v>
      </c>
      <c r="Y152" s="6" t="s">
        <v>73</v>
      </c>
      <c r="Z152" s="6" t="s">
        <v>37</v>
      </c>
      <c r="AA152" s="6" t="s">
        <v>74</v>
      </c>
      <c r="AB152" s="6" t="s">
        <v>37</v>
      </c>
      <c r="AC152" s="6" t="s">
        <v>45</v>
      </c>
      <c r="AD152" s="26" t="s">
        <v>77</v>
      </c>
      <c r="AE152" s="7">
        <v>415</v>
      </c>
      <c r="AF152" s="6">
        <v>480</v>
      </c>
      <c r="AG152" s="10">
        <v>9</v>
      </c>
      <c r="AH152" s="31" t="s">
        <v>41</v>
      </c>
    </row>
    <row r="153" ht="13.9" spans="1:34">
      <c r="A153" s="6">
        <v>2014</v>
      </c>
      <c r="B153" s="7">
        <v>0.8</v>
      </c>
      <c r="C153" s="6">
        <v>0</v>
      </c>
      <c r="D153" s="6">
        <v>4.4</v>
      </c>
      <c r="E153" s="6">
        <v>0.75</v>
      </c>
      <c r="F153" s="6">
        <v>0.7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8">
        <f t="shared" si="7"/>
        <v>93.35</v>
      </c>
      <c r="U153" s="7">
        <v>505</v>
      </c>
      <c r="V153" s="6">
        <v>172.5</v>
      </c>
      <c r="W153" s="6">
        <v>12.5</v>
      </c>
      <c r="X153" s="6" t="s">
        <v>34</v>
      </c>
      <c r="Y153" s="6" t="s">
        <v>73</v>
      </c>
      <c r="Z153" s="6" t="s">
        <v>37</v>
      </c>
      <c r="AA153" s="6" t="s">
        <v>74</v>
      </c>
      <c r="AB153" s="6" t="s">
        <v>37</v>
      </c>
      <c r="AC153" s="6" t="s">
        <v>38</v>
      </c>
      <c r="AD153" s="26" t="s">
        <v>77</v>
      </c>
      <c r="AE153" s="7">
        <v>425</v>
      </c>
      <c r="AF153" s="6">
        <v>465</v>
      </c>
      <c r="AG153" s="10" t="s">
        <v>40</v>
      </c>
      <c r="AH153" s="31" t="s">
        <v>41</v>
      </c>
    </row>
    <row r="154" ht="13.9" spans="1:34">
      <c r="A154" s="6">
        <v>2014</v>
      </c>
      <c r="B154" s="7">
        <v>0.8</v>
      </c>
      <c r="C154" s="6">
        <v>0</v>
      </c>
      <c r="D154" s="6">
        <v>4.4</v>
      </c>
      <c r="E154" s="6">
        <v>0.75</v>
      </c>
      <c r="F154" s="6">
        <v>0.7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8">
        <f t="shared" si="7"/>
        <v>93.35</v>
      </c>
      <c r="U154" s="7">
        <v>505</v>
      </c>
      <c r="V154" s="6">
        <v>25</v>
      </c>
      <c r="W154" s="6">
        <v>48</v>
      </c>
      <c r="X154" s="6" t="s">
        <v>42</v>
      </c>
      <c r="Y154" s="6" t="s">
        <v>73</v>
      </c>
      <c r="Z154" s="6" t="s">
        <v>37</v>
      </c>
      <c r="AA154" s="6" t="s">
        <v>80</v>
      </c>
      <c r="AB154" s="6" t="s">
        <v>37</v>
      </c>
      <c r="AC154" s="6" t="s">
        <v>51</v>
      </c>
      <c r="AD154" s="26" t="s">
        <v>86</v>
      </c>
      <c r="AE154" s="7">
        <v>315</v>
      </c>
      <c r="AF154" s="6">
        <v>465</v>
      </c>
      <c r="AG154" s="10">
        <v>17</v>
      </c>
      <c r="AH154" s="31" t="s">
        <v>41</v>
      </c>
    </row>
    <row r="155" ht="13.9" spans="1:34">
      <c r="A155" s="6">
        <v>2014</v>
      </c>
      <c r="B155" s="7">
        <v>0.8</v>
      </c>
      <c r="C155" s="6">
        <v>0</v>
      </c>
      <c r="D155" s="6">
        <v>4.4</v>
      </c>
      <c r="E155" s="6">
        <v>0.75</v>
      </c>
      <c r="F155" s="6">
        <v>0.7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8">
        <f t="shared" si="7"/>
        <v>93.35</v>
      </c>
      <c r="U155" s="7">
        <v>505</v>
      </c>
      <c r="V155" s="6">
        <v>172.5</v>
      </c>
      <c r="W155" s="6">
        <v>12.5</v>
      </c>
      <c r="X155" s="6" t="s">
        <v>42</v>
      </c>
      <c r="Y155" s="6" t="s">
        <v>73</v>
      </c>
      <c r="Z155" s="6" t="s">
        <v>37</v>
      </c>
      <c r="AA155" s="6" t="s">
        <v>74</v>
      </c>
      <c r="AB155" s="6" t="s">
        <v>37</v>
      </c>
      <c r="AC155" s="6" t="s">
        <v>43</v>
      </c>
      <c r="AD155" s="26" t="s">
        <v>77</v>
      </c>
      <c r="AE155" s="7">
        <v>408</v>
      </c>
      <c r="AF155" s="6">
        <v>460</v>
      </c>
      <c r="AG155" s="34">
        <v>10</v>
      </c>
      <c r="AH155" s="31" t="s">
        <v>41</v>
      </c>
    </row>
    <row r="156" ht="13.9" spans="1:34">
      <c r="A156" s="6">
        <v>2014</v>
      </c>
      <c r="B156" s="7">
        <v>0.8</v>
      </c>
      <c r="C156" s="6">
        <v>0</v>
      </c>
      <c r="D156" s="6">
        <v>4.4</v>
      </c>
      <c r="E156" s="6">
        <v>0.75</v>
      </c>
      <c r="F156" s="6">
        <v>0.7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8">
        <f t="shared" si="7"/>
        <v>93.35</v>
      </c>
      <c r="U156" s="7">
        <v>505</v>
      </c>
      <c r="V156" s="6">
        <v>25</v>
      </c>
      <c r="W156" s="6">
        <v>48</v>
      </c>
      <c r="X156" s="6" t="s">
        <v>34</v>
      </c>
      <c r="Y156" s="6" t="s">
        <v>73</v>
      </c>
      <c r="Z156" s="6" t="s">
        <v>37</v>
      </c>
      <c r="AA156" s="6" t="s">
        <v>80</v>
      </c>
      <c r="AB156" s="6" t="s">
        <v>37</v>
      </c>
      <c r="AC156" s="6" t="s">
        <v>38</v>
      </c>
      <c r="AD156" s="26" t="s">
        <v>86</v>
      </c>
      <c r="AE156" s="7">
        <v>340</v>
      </c>
      <c r="AF156" s="6">
        <v>445</v>
      </c>
      <c r="AG156" s="10">
        <v>15</v>
      </c>
      <c r="AH156" s="31" t="s">
        <v>41</v>
      </c>
    </row>
    <row r="157" ht="13.9" spans="1:34">
      <c r="A157" s="6">
        <v>2014</v>
      </c>
      <c r="B157" s="7">
        <v>0.8</v>
      </c>
      <c r="C157" s="6">
        <v>0</v>
      </c>
      <c r="D157" s="6">
        <v>4.4</v>
      </c>
      <c r="E157" s="6">
        <v>0.75</v>
      </c>
      <c r="F157" s="6">
        <v>0.7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8">
        <f t="shared" ref="T157:T185" si="8">100-SUM(B157:S157)</f>
        <v>93.35</v>
      </c>
      <c r="U157" s="7">
        <v>505</v>
      </c>
      <c r="V157" s="6">
        <v>25</v>
      </c>
      <c r="W157" s="6">
        <v>48</v>
      </c>
      <c r="X157" s="6" t="s">
        <v>42</v>
      </c>
      <c r="Y157" s="6" t="s">
        <v>73</v>
      </c>
      <c r="Z157" s="6" t="s">
        <v>37</v>
      </c>
      <c r="AA157" s="6" t="s">
        <v>80</v>
      </c>
      <c r="AB157" s="6" t="s">
        <v>37</v>
      </c>
      <c r="AC157" s="6" t="s">
        <v>43</v>
      </c>
      <c r="AD157" s="26" t="s">
        <v>86</v>
      </c>
      <c r="AE157" s="41">
        <v>260</v>
      </c>
      <c r="AF157" s="5">
        <v>438</v>
      </c>
      <c r="AG157" s="34">
        <v>21</v>
      </c>
      <c r="AH157" s="31" t="s">
        <v>41</v>
      </c>
    </row>
    <row r="158" ht="13.9" spans="1:34">
      <c r="A158" s="6">
        <v>2014</v>
      </c>
      <c r="B158" s="7">
        <v>0.8</v>
      </c>
      <c r="C158" s="6">
        <v>0</v>
      </c>
      <c r="D158" s="6">
        <v>4.5</v>
      </c>
      <c r="E158" s="6">
        <v>0.8</v>
      </c>
      <c r="F158" s="6">
        <v>0.5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8">
        <f t="shared" si="8"/>
        <v>93.4</v>
      </c>
      <c r="U158" s="7">
        <v>505</v>
      </c>
      <c r="V158" s="6">
        <v>25</v>
      </c>
      <c r="W158" s="6">
        <v>48</v>
      </c>
      <c r="X158" s="6" t="s">
        <v>42</v>
      </c>
      <c r="Y158" s="6" t="s">
        <v>73</v>
      </c>
      <c r="Z158" s="6" t="s">
        <v>37</v>
      </c>
      <c r="AA158" s="6" t="s">
        <v>80</v>
      </c>
      <c r="AB158" s="6" t="s">
        <v>37</v>
      </c>
      <c r="AC158" s="6" t="s">
        <v>69</v>
      </c>
      <c r="AD158" s="26" t="s">
        <v>86</v>
      </c>
      <c r="AE158" s="7">
        <v>290</v>
      </c>
      <c r="AF158" s="6">
        <v>430</v>
      </c>
      <c r="AG158" s="10">
        <v>20</v>
      </c>
      <c r="AH158" s="31" t="s">
        <v>41</v>
      </c>
    </row>
    <row r="159" ht="13.9" spans="1:34">
      <c r="A159" s="6">
        <v>2014</v>
      </c>
      <c r="B159" s="7">
        <v>0.8</v>
      </c>
      <c r="C159" s="6">
        <v>0</v>
      </c>
      <c r="D159" s="6">
        <v>4.4</v>
      </c>
      <c r="E159" s="6">
        <v>0.75</v>
      </c>
      <c r="F159" s="6">
        <v>0.7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8">
        <f t="shared" si="8"/>
        <v>93.35</v>
      </c>
      <c r="U159" s="7">
        <v>505</v>
      </c>
      <c r="V159" s="6">
        <v>25</v>
      </c>
      <c r="W159" s="6">
        <v>48</v>
      </c>
      <c r="X159" s="6" t="s">
        <v>44</v>
      </c>
      <c r="Y159" s="6" t="s">
        <v>73</v>
      </c>
      <c r="Z159" s="6" t="s">
        <v>37</v>
      </c>
      <c r="AA159" s="6" t="s">
        <v>80</v>
      </c>
      <c r="AB159" s="6" t="s">
        <v>37</v>
      </c>
      <c r="AC159" s="6" t="s">
        <v>45</v>
      </c>
      <c r="AD159" s="26" t="s">
        <v>86</v>
      </c>
      <c r="AE159" s="7">
        <v>310</v>
      </c>
      <c r="AF159" s="6">
        <v>425</v>
      </c>
      <c r="AG159" s="10">
        <v>12</v>
      </c>
      <c r="AH159" s="31" t="s">
        <v>41</v>
      </c>
    </row>
    <row r="160" ht="13.9" spans="1:34">
      <c r="A160" s="6">
        <v>2014</v>
      </c>
      <c r="B160" s="7">
        <v>0.8</v>
      </c>
      <c r="C160" s="6">
        <v>0</v>
      </c>
      <c r="D160" s="6">
        <v>4.4</v>
      </c>
      <c r="E160" s="6">
        <v>0.75</v>
      </c>
      <c r="F160" s="6">
        <v>0.7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8">
        <f t="shared" si="8"/>
        <v>93.35</v>
      </c>
      <c r="U160" s="7">
        <v>505</v>
      </c>
      <c r="V160" s="6">
        <v>25</v>
      </c>
      <c r="W160" s="6">
        <v>48</v>
      </c>
      <c r="X160" s="6" t="s">
        <v>42</v>
      </c>
      <c r="Y160" s="6" t="s">
        <v>73</v>
      </c>
      <c r="Z160" s="6" t="s">
        <v>84</v>
      </c>
      <c r="AA160" s="6" t="s">
        <v>80</v>
      </c>
      <c r="AB160" s="6" t="s">
        <v>37</v>
      </c>
      <c r="AC160" s="6" t="s">
        <v>59</v>
      </c>
      <c r="AD160" s="26" t="s">
        <v>85</v>
      </c>
      <c r="AE160" s="7">
        <v>290</v>
      </c>
      <c r="AF160" s="6">
        <v>425</v>
      </c>
      <c r="AG160" s="10">
        <v>22</v>
      </c>
      <c r="AH160" s="31" t="s">
        <v>41</v>
      </c>
    </row>
    <row r="161" ht="13.9" spans="1:34">
      <c r="A161" s="6">
        <v>2014</v>
      </c>
      <c r="B161" s="7">
        <v>0.85</v>
      </c>
      <c r="C161" s="6">
        <v>0.7</v>
      </c>
      <c r="D161" s="6">
        <v>4.45</v>
      </c>
      <c r="E161" s="6">
        <v>0.8</v>
      </c>
      <c r="F161" s="6">
        <v>0.5</v>
      </c>
      <c r="G161" s="6">
        <v>0.1</v>
      </c>
      <c r="H161" s="6">
        <v>0.25</v>
      </c>
      <c r="I161" s="6">
        <v>0</v>
      </c>
      <c r="J161" s="6">
        <v>0.15</v>
      </c>
      <c r="K161" s="6">
        <v>0.05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8">
        <f t="shared" si="8"/>
        <v>92.15</v>
      </c>
      <c r="U161" s="7">
        <v>500</v>
      </c>
      <c r="V161" s="6">
        <v>150</v>
      </c>
      <c r="W161" s="6">
        <v>30</v>
      </c>
      <c r="X161" s="6" t="s">
        <v>42</v>
      </c>
      <c r="Y161" s="6" t="s">
        <v>73</v>
      </c>
      <c r="Z161" s="6" t="s">
        <v>37</v>
      </c>
      <c r="AA161" s="6" t="s">
        <v>74</v>
      </c>
      <c r="AB161" s="6" t="s">
        <v>37</v>
      </c>
      <c r="AC161" s="6" t="s">
        <v>43</v>
      </c>
      <c r="AD161" s="26" t="s">
        <v>77</v>
      </c>
      <c r="AE161" s="7">
        <v>420</v>
      </c>
      <c r="AF161" s="6">
        <v>475</v>
      </c>
      <c r="AG161" s="10">
        <v>10</v>
      </c>
      <c r="AH161" s="31" t="s">
        <v>54</v>
      </c>
    </row>
    <row r="162" ht="13.9" spans="1:34">
      <c r="A162" s="6">
        <v>2014</v>
      </c>
      <c r="B162" s="7">
        <v>0.85</v>
      </c>
      <c r="C162" s="6">
        <v>0.7</v>
      </c>
      <c r="D162" s="6">
        <v>4.45</v>
      </c>
      <c r="E162" s="6">
        <v>0.8</v>
      </c>
      <c r="F162" s="6">
        <v>0.5</v>
      </c>
      <c r="G162" s="6">
        <v>0.1</v>
      </c>
      <c r="H162" s="6">
        <v>0.25</v>
      </c>
      <c r="I162" s="6">
        <v>0</v>
      </c>
      <c r="J162" s="6">
        <v>0.15</v>
      </c>
      <c r="K162" s="6">
        <v>0.05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8">
        <f t="shared" si="8"/>
        <v>92.15</v>
      </c>
      <c r="U162" s="7">
        <v>500</v>
      </c>
      <c r="V162" s="6">
        <v>135</v>
      </c>
      <c r="W162" s="6">
        <v>120</v>
      </c>
      <c r="X162" s="6" t="s">
        <v>42</v>
      </c>
      <c r="Y162" s="6" t="s">
        <v>73</v>
      </c>
      <c r="Z162" s="6" t="s">
        <v>37</v>
      </c>
      <c r="AA162" s="6" t="s">
        <v>74</v>
      </c>
      <c r="AB162" s="6" t="s">
        <v>37</v>
      </c>
      <c r="AC162" s="6" t="s">
        <v>43</v>
      </c>
      <c r="AD162" s="26" t="s">
        <v>77</v>
      </c>
      <c r="AE162" s="7">
        <v>410</v>
      </c>
      <c r="AF162" s="6">
        <v>475</v>
      </c>
      <c r="AG162" s="10">
        <v>15</v>
      </c>
      <c r="AH162" s="31" t="s">
        <v>54</v>
      </c>
    </row>
    <row r="163" ht="13.9" spans="1:34">
      <c r="A163" s="6">
        <v>2014</v>
      </c>
      <c r="B163" s="7">
        <v>0.85</v>
      </c>
      <c r="C163" s="6">
        <v>0.7</v>
      </c>
      <c r="D163" s="6">
        <v>4.45</v>
      </c>
      <c r="E163" s="6">
        <v>0.8</v>
      </c>
      <c r="F163" s="6">
        <v>0.5</v>
      </c>
      <c r="G163" s="6">
        <v>0.1</v>
      </c>
      <c r="H163" s="6">
        <v>0.25</v>
      </c>
      <c r="I163" s="6">
        <v>0</v>
      </c>
      <c r="J163" s="6">
        <v>0.15</v>
      </c>
      <c r="K163" s="6">
        <v>0.05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8">
        <f t="shared" si="8"/>
        <v>92.15</v>
      </c>
      <c r="U163" s="7">
        <v>500</v>
      </c>
      <c r="V163" s="6">
        <v>175</v>
      </c>
      <c r="W163" s="6">
        <v>8</v>
      </c>
      <c r="X163" s="6" t="s">
        <v>42</v>
      </c>
      <c r="Y163" s="6" t="s">
        <v>73</v>
      </c>
      <c r="Z163" s="6" t="s">
        <v>37</v>
      </c>
      <c r="AA163" s="6" t="s">
        <v>74</v>
      </c>
      <c r="AB163" s="6" t="s">
        <v>37</v>
      </c>
      <c r="AC163" s="6" t="s">
        <v>43</v>
      </c>
      <c r="AD163" s="26" t="s">
        <v>77</v>
      </c>
      <c r="AE163" s="7">
        <v>420</v>
      </c>
      <c r="AF163" s="6">
        <v>470</v>
      </c>
      <c r="AG163" s="34">
        <v>10</v>
      </c>
      <c r="AH163" s="31" t="s">
        <v>54</v>
      </c>
    </row>
    <row r="164" ht="13.9" spans="1:34">
      <c r="A164" s="6">
        <v>2014</v>
      </c>
      <c r="B164" s="7">
        <v>0.85</v>
      </c>
      <c r="C164" s="6">
        <v>0.7</v>
      </c>
      <c r="D164" s="6">
        <v>4.45</v>
      </c>
      <c r="E164" s="6">
        <v>0.8</v>
      </c>
      <c r="F164" s="6">
        <v>0.5</v>
      </c>
      <c r="G164" s="6">
        <v>0.1</v>
      </c>
      <c r="H164" s="6">
        <v>0.25</v>
      </c>
      <c r="I164" s="6">
        <v>0</v>
      </c>
      <c r="J164" s="6">
        <v>0.15</v>
      </c>
      <c r="K164" s="6">
        <v>0.05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8">
        <f t="shared" si="8"/>
        <v>92.15</v>
      </c>
      <c r="U164" s="7">
        <v>500</v>
      </c>
      <c r="V164" s="6">
        <v>160</v>
      </c>
      <c r="W164" s="6">
        <v>18</v>
      </c>
      <c r="X164" s="6" t="s">
        <v>42</v>
      </c>
      <c r="Y164" s="6" t="s">
        <v>73</v>
      </c>
      <c r="Z164" s="6" t="s">
        <v>84</v>
      </c>
      <c r="AA164" s="6" t="s">
        <v>74</v>
      </c>
      <c r="AB164" s="6" t="s">
        <v>37</v>
      </c>
      <c r="AC164" s="6" t="s">
        <v>51</v>
      </c>
      <c r="AD164" s="26" t="s">
        <v>90</v>
      </c>
      <c r="AE164" s="7">
        <v>397</v>
      </c>
      <c r="AF164" s="6">
        <v>467</v>
      </c>
      <c r="AG164" s="10">
        <v>10.5</v>
      </c>
      <c r="AH164" s="31" t="s">
        <v>54</v>
      </c>
    </row>
    <row r="165" ht="13.9" spans="1:34">
      <c r="A165" s="6">
        <v>2014</v>
      </c>
      <c r="B165" s="7">
        <v>0.85</v>
      </c>
      <c r="C165" s="6">
        <v>0.7</v>
      </c>
      <c r="D165" s="6">
        <v>4.45</v>
      </c>
      <c r="E165" s="6">
        <v>0.8</v>
      </c>
      <c r="F165" s="6">
        <v>0.5</v>
      </c>
      <c r="G165" s="6">
        <v>0.1</v>
      </c>
      <c r="H165" s="6">
        <v>0.25</v>
      </c>
      <c r="I165" s="6">
        <v>0</v>
      </c>
      <c r="J165" s="6">
        <v>0.15</v>
      </c>
      <c r="K165" s="6">
        <v>0.05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8">
        <f t="shared" si="8"/>
        <v>92.15</v>
      </c>
      <c r="U165" s="7">
        <v>500</v>
      </c>
      <c r="V165" s="6">
        <v>160</v>
      </c>
      <c r="W165" s="6">
        <v>18</v>
      </c>
      <c r="X165" s="6" t="s">
        <v>42</v>
      </c>
      <c r="Y165" s="6" t="s">
        <v>73</v>
      </c>
      <c r="Z165" s="6" t="s">
        <v>37</v>
      </c>
      <c r="AA165" s="6" t="s">
        <v>74</v>
      </c>
      <c r="AB165" s="6" t="s">
        <v>37</v>
      </c>
      <c r="AC165" s="6" t="s">
        <v>51</v>
      </c>
      <c r="AD165" s="26" t="s">
        <v>77</v>
      </c>
      <c r="AE165" s="7">
        <v>397</v>
      </c>
      <c r="AF165" s="6">
        <v>467</v>
      </c>
      <c r="AG165" s="34">
        <v>10.5</v>
      </c>
      <c r="AH165" s="31" t="s">
        <v>54</v>
      </c>
    </row>
    <row r="166" ht="13.9" spans="1:34">
      <c r="A166" s="6">
        <v>2014</v>
      </c>
      <c r="B166" s="7">
        <v>0.85</v>
      </c>
      <c r="C166" s="6">
        <v>0.7</v>
      </c>
      <c r="D166" s="6">
        <v>4.45</v>
      </c>
      <c r="E166" s="6">
        <v>0.8</v>
      </c>
      <c r="F166" s="6">
        <v>0.5</v>
      </c>
      <c r="G166" s="6">
        <v>0.1</v>
      </c>
      <c r="H166" s="6">
        <v>0.25</v>
      </c>
      <c r="I166" s="6">
        <v>0</v>
      </c>
      <c r="J166" s="6">
        <v>0.15</v>
      </c>
      <c r="K166" s="6">
        <v>0.05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8">
        <f t="shared" si="8"/>
        <v>92.15</v>
      </c>
      <c r="U166" s="7">
        <v>500</v>
      </c>
      <c r="V166" s="6">
        <v>177</v>
      </c>
      <c r="W166" s="6">
        <v>18</v>
      </c>
      <c r="X166" s="6" t="s">
        <v>42</v>
      </c>
      <c r="Y166" s="6" t="s">
        <v>73</v>
      </c>
      <c r="Z166" s="6" t="s">
        <v>37</v>
      </c>
      <c r="AA166" s="6" t="s">
        <v>74</v>
      </c>
      <c r="AB166" s="6" t="s">
        <v>37</v>
      </c>
      <c r="AC166" s="6" t="s">
        <v>51</v>
      </c>
      <c r="AD166" s="26" t="s">
        <v>77</v>
      </c>
      <c r="AE166" s="7">
        <v>397</v>
      </c>
      <c r="AF166" s="6">
        <v>467</v>
      </c>
      <c r="AG166" s="34">
        <v>10.5</v>
      </c>
      <c r="AH166" s="31" t="s">
        <v>54</v>
      </c>
    </row>
    <row r="167" ht="13.9" spans="1:34">
      <c r="A167" s="6">
        <v>2014</v>
      </c>
      <c r="B167" s="7">
        <v>0.85</v>
      </c>
      <c r="C167" s="6">
        <v>0.7</v>
      </c>
      <c r="D167" s="6">
        <v>4.45</v>
      </c>
      <c r="E167" s="6">
        <v>0.8</v>
      </c>
      <c r="F167" s="6">
        <v>0.5</v>
      </c>
      <c r="G167" s="6">
        <v>0.1</v>
      </c>
      <c r="H167" s="6">
        <v>0.25</v>
      </c>
      <c r="I167" s="6">
        <v>0</v>
      </c>
      <c r="J167" s="6">
        <v>0.15</v>
      </c>
      <c r="K167" s="6">
        <v>0.05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8">
        <f t="shared" si="8"/>
        <v>92.15</v>
      </c>
      <c r="U167" s="7">
        <v>500</v>
      </c>
      <c r="V167" s="6">
        <v>177</v>
      </c>
      <c r="W167" s="6">
        <v>18</v>
      </c>
      <c r="X167" s="6" t="s">
        <v>42</v>
      </c>
      <c r="Y167" s="6" t="s">
        <v>73</v>
      </c>
      <c r="Z167" s="6" t="s">
        <v>84</v>
      </c>
      <c r="AA167" s="6" t="s">
        <v>74</v>
      </c>
      <c r="AB167" s="6" t="s">
        <v>37</v>
      </c>
      <c r="AC167" s="6" t="s">
        <v>51</v>
      </c>
      <c r="AD167" s="26" t="s">
        <v>90</v>
      </c>
      <c r="AE167" s="7">
        <v>397</v>
      </c>
      <c r="AF167" s="6">
        <v>467</v>
      </c>
      <c r="AG167" s="10">
        <v>10.5</v>
      </c>
      <c r="AH167" s="31" t="s">
        <v>54</v>
      </c>
    </row>
    <row r="168" ht="13.9" spans="1:34">
      <c r="A168" s="6">
        <v>2014</v>
      </c>
      <c r="B168" s="7">
        <v>0.85</v>
      </c>
      <c r="C168" s="6">
        <v>0.7</v>
      </c>
      <c r="D168" s="6">
        <v>4.45</v>
      </c>
      <c r="E168" s="6">
        <v>0.8</v>
      </c>
      <c r="F168" s="6">
        <v>0.5</v>
      </c>
      <c r="G168" s="6">
        <v>0.1</v>
      </c>
      <c r="H168" s="6">
        <v>0.25</v>
      </c>
      <c r="I168" s="6">
        <v>0</v>
      </c>
      <c r="J168" s="6">
        <v>0.15</v>
      </c>
      <c r="K168" s="6">
        <v>0.05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8">
        <f t="shared" si="8"/>
        <v>92.15</v>
      </c>
      <c r="U168" s="7">
        <v>500</v>
      </c>
      <c r="V168" s="6">
        <v>160</v>
      </c>
      <c r="W168" s="6">
        <v>18</v>
      </c>
      <c r="X168" s="6" t="s">
        <v>42</v>
      </c>
      <c r="Y168" s="6" t="s">
        <v>73</v>
      </c>
      <c r="Z168" s="6" t="s">
        <v>84</v>
      </c>
      <c r="AA168" s="6" t="s">
        <v>74</v>
      </c>
      <c r="AB168" s="6" t="s">
        <v>37</v>
      </c>
      <c r="AC168" s="6" t="s">
        <v>69</v>
      </c>
      <c r="AD168" s="26" t="s">
        <v>90</v>
      </c>
      <c r="AE168" s="7">
        <v>397</v>
      </c>
      <c r="AF168" s="6">
        <v>467</v>
      </c>
      <c r="AG168" s="10">
        <v>10.5</v>
      </c>
      <c r="AH168" s="31" t="s">
        <v>54</v>
      </c>
    </row>
    <row r="169" ht="13.9" spans="1:34">
      <c r="A169" s="6">
        <v>2014</v>
      </c>
      <c r="B169" s="7">
        <v>0.85</v>
      </c>
      <c r="C169" s="6">
        <v>0.7</v>
      </c>
      <c r="D169" s="6">
        <v>4.45</v>
      </c>
      <c r="E169" s="6">
        <v>0.8</v>
      </c>
      <c r="F169" s="6">
        <v>0.5</v>
      </c>
      <c r="G169" s="6">
        <v>0.1</v>
      </c>
      <c r="H169" s="6">
        <v>0.25</v>
      </c>
      <c r="I169" s="6">
        <v>0</v>
      </c>
      <c r="J169" s="6">
        <v>0.15</v>
      </c>
      <c r="K169" s="6">
        <v>0.05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8">
        <f t="shared" si="8"/>
        <v>92.15</v>
      </c>
      <c r="U169" s="7">
        <v>500</v>
      </c>
      <c r="V169" s="6">
        <v>160</v>
      </c>
      <c r="W169" s="6">
        <v>18</v>
      </c>
      <c r="X169" s="6" t="s">
        <v>42</v>
      </c>
      <c r="Y169" s="6" t="s">
        <v>73</v>
      </c>
      <c r="Z169" s="6" t="s">
        <v>37</v>
      </c>
      <c r="AA169" s="6" t="s">
        <v>74</v>
      </c>
      <c r="AB169" s="6" t="s">
        <v>37</v>
      </c>
      <c r="AC169" s="6" t="s">
        <v>69</v>
      </c>
      <c r="AD169" s="26" t="s">
        <v>77</v>
      </c>
      <c r="AE169" s="7">
        <v>397</v>
      </c>
      <c r="AF169" s="6">
        <v>467</v>
      </c>
      <c r="AG169" s="10">
        <v>10.5</v>
      </c>
      <c r="AH169" s="31" t="s">
        <v>54</v>
      </c>
    </row>
    <row r="170" ht="13.9" spans="1:34">
      <c r="A170" s="6">
        <v>2014</v>
      </c>
      <c r="B170" s="7">
        <v>0.85</v>
      </c>
      <c r="C170" s="6">
        <v>0.7</v>
      </c>
      <c r="D170" s="6">
        <v>4.45</v>
      </c>
      <c r="E170" s="6">
        <v>0.8</v>
      </c>
      <c r="F170" s="6">
        <v>0.5</v>
      </c>
      <c r="G170" s="6">
        <v>0.1</v>
      </c>
      <c r="H170" s="6">
        <v>0.25</v>
      </c>
      <c r="I170" s="6">
        <v>0</v>
      </c>
      <c r="J170" s="6">
        <v>0.15</v>
      </c>
      <c r="K170" s="6">
        <v>0.05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8">
        <f t="shared" si="8"/>
        <v>92.15</v>
      </c>
      <c r="U170" s="7">
        <v>500</v>
      </c>
      <c r="V170" s="6">
        <v>177</v>
      </c>
      <c r="W170" s="6">
        <v>18</v>
      </c>
      <c r="X170" s="6" t="s">
        <v>42</v>
      </c>
      <c r="Y170" s="6" t="s">
        <v>73</v>
      </c>
      <c r="Z170" s="6" t="s">
        <v>37</v>
      </c>
      <c r="AA170" s="6" t="s">
        <v>74</v>
      </c>
      <c r="AB170" s="6" t="s">
        <v>37</v>
      </c>
      <c r="AC170" s="6" t="s">
        <v>69</v>
      </c>
      <c r="AD170" s="26" t="s">
        <v>77</v>
      </c>
      <c r="AE170" s="7">
        <v>397</v>
      </c>
      <c r="AF170" s="6">
        <v>467</v>
      </c>
      <c r="AG170" s="10">
        <v>10.5</v>
      </c>
      <c r="AH170" s="31" t="s">
        <v>54</v>
      </c>
    </row>
    <row r="171" ht="13.9" spans="1:34">
      <c r="A171" s="6">
        <v>2014</v>
      </c>
      <c r="B171" s="7">
        <v>0.85</v>
      </c>
      <c r="C171" s="6">
        <v>0.7</v>
      </c>
      <c r="D171" s="6">
        <v>4.45</v>
      </c>
      <c r="E171" s="6">
        <v>0.8</v>
      </c>
      <c r="F171" s="6">
        <v>0.5</v>
      </c>
      <c r="G171" s="6">
        <v>0.1</v>
      </c>
      <c r="H171" s="6">
        <v>0.25</v>
      </c>
      <c r="I171" s="6">
        <v>0</v>
      </c>
      <c r="J171" s="6">
        <v>0.15</v>
      </c>
      <c r="K171" s="6">
        <v>0.05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8">
        <f t="shared" si="8"/>
        <v>92.15</v>
      </c>
      <c r="U171" s="7">
        <v>500</v>
      </c>
      <c r="V171" s="6">
        <v>177</v>
      </c>
      <c r="W171" s="6">
        <v>18</v>
      </c>
      <c r="X171" s="6" t="s">
        <v>42</v>
      </c>
      <c r="Y171" s="6" t="s">
        <v>73</v>
      </c>
      <c r="Z171" s="6" t="s">
        <v>84</v>
      </c>
      <c r="AA171" s="6" t="s">
        <v>74</v>
      </c>
      <c r="AB171" s="6" t="s">
        <v>37</v>
      </c>
      <c r="AC171" s="6" t="s">
        <v>69</v>
      </c>
      <c r="AD171" s="26" t="s">
        <v>90</v>
      </c>
      <c r="AE171" s="7">
        <v>397</v>
      </c>
      <c r="AF171" s="6">
        <v>467</v>
      </c>
      <c r="AG171" s="10">
        <v>10.5</v>
      </c>
      <c r="AH171" s="31" t="s">
        <v>54</v>
      </c>
    </row>
    <row r="172" ht="13.9" spans="1:34">
      <c r="A172" s="6">
        <v>2014</v>
      </c>
      <c r="B172" s="7">
        <v>0.85</v>
      </c>
      <c r="C172" s="6">
        <v>0.7</v>
      </c>
      <c r="D172" s="6">
        <v>4.45</v>
      </c>
      <c r="E172" s="6">
        <v>0.8</v>
      </c>
      <c r="F172" s="6">
        <v>0.5</v>
      </c>
      <c r="G172" s="6">
        <v>0.1</v>
      </c>
      <c r="H172" s="6">
        <v>0.25</v>
      </c>
      <c r="I172" s="6">
        <v>0</v>
      </c>
      <c r="J172" s="6">
        <v>0.15</v>
      </c>
      <c r="K172" s="6">
        <v>0.05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8">
        <f t="shared" si="8"/>
        <v>92.15</v>
      </c>
      <c r="U172" s="7">
        <v>500</v>
      </c>
      <c r="V172" s="6">
        <v>160</v>
      </c>
      <c r="W172" s="6">
        <v>18</v>
      </c>
      <c r="X172" s="6" t="s">
        <v>42</v>
      </c>
      <c r="Y172" s="6" t="s">
        <v>73</v>
      </c>
      <c r="Z172" s="6" t="s">
        <v>84</v>
      </c>
      <c r="AA172" s="6" t="s">
        <v>74</v>
      </c>
      <c r="AB172" s="6" t="s">
        <v>37</v>
      </c>
      <c r="AC172" s="6" t="s">
        <v>38</v>
      </c>
      <c r="AD172" s="26" t="s">
        <v>90</v>
      </c>
      <c r="AE172" s="7">
        <v>397</v>
      </c>
      <c r="AF172" s="6">
        <v>467</v>
      </c>
      <c r="AG172" s="10">
        <v>10.5</v>
      </c>
      <c r="AH172" s="31" t="s">
        <v>54</v>
      </c>
    </row>
    <row r="173" ht="13.9" spans="1:34">
      <c r="A173" s="6">
        <v>2014</v>
      </c>
      <c r="B173" s="7">
        <v>0.85</v>
      </c>
      <c r="C173" s="6">
        <v>0.7</v>
      </c>
      <c r="D173" s="6">
        <v>4.45</v>
      </c>
      <c r="E173" s="6">
        <v>0.8</v>
      </c>
      <c r="F173" s="6">
        <v>0.5</v>
      </c>
      <c r="G173" s="6">
        <v>0.1</v>
      </c>
      <c r="H173" s="6">
        <v>0.25</v>
      </c>
      <c r="I173" s="6">
        <v>0</v>
      </c>
      <c r="J173" s="6">
        <v>0.15</v>
      </c>
      <c r="K173" s="6">
        <v>0.05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8">
        <f t="shared" si="8"/>
        <v>92.15</v>
      </c>
      <c r="U173" s="7">
        <v>500</v>
      </c>
      <c r="V173" s="6">
        <v>160</v>
      </c>
      <c r="W173" s="6">
        <v>18</v>
      </c>
      <c r="X173" s="6" t="s">
        <v>42</v>
      </c>
      <c r="Y173" s="6" t="s">
        <v>73</v>
      </c>
      <c r="Z173" s="6" t="s">
        <v>37</v>
      </c>
      <c r="AA173" s="6" t="s">
        <v>74</v>
      </c>
      <c r="AB173" s="6" t="s">
        <v>37</v>
      </c>
      <c r="AC173" s="6" t="s">
        <v>38</v>
      </c>
      <c r="AD173" s="26" t="s">
        <v>77</v>
      </c>
      <c r="AE173" s="7">
        <v>397</v>
      </c>
      <c r="AF173" s="6">
        <v>467</v>
      </c>
      <c r="AG173" s="10">
        <v>10.5</v>
      </c>
      <c r="AH173" s="31" t="s">
        <v>54</v>
      </c>
    </row>
    <row r="174" ht="13.9" spans="1:34">
      <c r="A174" s="6">
        <v>2014</v>
      </c>
      <c r="B174" s="7">
        <v>0.85</v>
      </c>
      <c r="C174" s="6">
        <v>0.7</v>
      </c>
      <c r="D174" s="6">
        <v>4.45</v>
      </c>
      <c r="E174" s="6">
        <v>0.8</v>
      </c>
      <c r="F174" s="6">
        <v>0.5</v>
      </c>
      <c r="G174" s="6">
        <v>0.1</v>
      </c>
      <c r="H174" s="6">
        <v>0.25</v>
      </c>
      <c r="I174" s="6">
        <v>0</v>
      </c>
      <c r="J174" s="6">
        <v>0.15</v>
      </c>
      <c r="K174" s="6">
        <v>0.05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8">
        <f t="shared" si="8"/>
        <v>92.15</v>
      </c>
      <c r="U174" s="7">
        <v>500</v>
      </c>
      <c r="V174" s="6">
        <v>177</v>
      </c>
      <c r="W174" s="6">
        <v>18</v>
      </c>
      <c r="X174" s="6" t="s">
        <v>42</v>
      </c>
      <c r="Y174" s="6" t="s">
        <v>73</v>
      </c>
      <c r="Z174" s="6" t="s">
        <v>37</v>
      </c>
      <c r="AA174" s="6" t="s">
        <v>74</v>
      </c>
      <c r="AB174" s="6" t="s">
        <v>37</v>
      </c>
      <c r="AC174" s="6" t="s">
        <v>38</v>
      </c>
      <c r="AD174" s="26" t="s">
        <v>77</v>
      </c>
      <c r="AE174" s="7">
        <v>397</v>
      </c>
      <c r="AF174" s="6">
        <v>467</v>
      </c>
      <c r="AG174" s="10">
        <v>10.5</v>
      </c>
      <c r="AH174" s="31" t="s">
        <v>54</v>
      </c>
    </row>
    <row r="175" ht="13.9" spans="1:34">
      <c r="A175" s="6">
        <v>2014</v>
      </c>
      <c r="B175" s="7">
        <v>0.85</v>
      </c>
      <c r="C175" s="6">
        <v>0.7</v>
      </c>
      <c r="D175" s="6">
        <v>4.45</v>
      </c>
      <c r="E175" s="6">
        <v>0.8</v>
      </c>
      <c r="F175" s="6">
        <v>0.5</v>
      </c>
      <c r="G175" s="6">
        <v>0.1</v>
      </c>
      <c r="H175" s="6">
        <v>0.25</v>
      </c>
      <c r="I175" s="6">
        <v>0</v>
      </c>
      <c r="J175" s="6">
        <v>0.15</v>
      </c>
      <c r="K175" s="6">
        <v>0.05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8">
        <f t="shared" si="8"/>
        <v>92.15</v>
      </c>
      <c r="U175" s="7">
        <v>500</v>
      </c>
      <c r="V175" s="6">
        <v>177</v>
      </c>
      <c r="W175" s="6">
        <v>18</v>
      </c>
      <c r="X175" s="6" t="s">
        <v>42</v>
      </c>
      <c r="Y175" s="6" t="s">
        <v>73</v>
      </c>
      <c r="Z175" s="6" t="s">
        <v>84</v>
      </c>
      <c r="AA175" s="6" t="s">
        <v>74</v>
      </c>
      <c r="AB175" s="6" t="s">
        <v>37</v>
      </c>
      <c r="AC175" s="6" t="s">
        <v>38</v>
      </c>
      <c r="AD175" s="26" t="s">
        <v>90</v>
      </c>
      <c r="AE175" s="7">
        <v>397</v>
      </c>
      <c r="AF175" s="6">
        <v>467</v>
      </c>
      <c r="AG175" s="10">
        <v>10.5</v>
      </c>
      <c r="AH175" s="31" t="s">
        <v>54</v>
      </c>
    </row>
    <row r="176" ht="13.9" spans="1:34">
      <c r="A176" s="6">
        <v>2014</v>
      </c>
      <c r="B176" s="7">
        <v>0.85</v>
      </c>
      <c r="C176" s="6">
        <v>0.7</v>
      </c>
      <c r="D176" s="6">
        <v>4.45</v>
      </c>
      <c r="E176" s="6">
        <v>0.8</v>
      </c>
      <c r="F176" s="6">
        <v>0.5</v>
      </c>
      <c r="G176" s="6">
        <v>0.1</v>
      </c>
      <c r="H176" s="6">
        <v>0.25</v>
      </c>
      <c r="I176" s="6">
        <v>0</v>
      </c>
      <c r="J176" s="6">
        <v>0.15</v>
      </c>
      <c r="K176" s="6">
        <v>0.05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8">
        <f t="shared" si="8"/>
        <v>92.15</v>
      </c>
      <c r="U176" s="7">
        <v>500</v>
      </c>
      <c r="V176" s="6">
        <v>190</v>
      </c>
      <c r="W176" s="6">
        <v>3</v>
      </c>
      <c r="X176" s="6" t="s">
        <v>42</v>
      </c>
      <c r="Y176" s="6" t="s">
        <v>73</v>
      </c>
      <c r="Z176" s="6" t="s">
        <v>37</v>
      </c>
      <c r="AA176" s="6" t="s">
        <v>74</v>
      </c>
      <c r="AB176" s="6" t="s">
        <v>37</v>
      </c>
      <c r="AC176" s="6" t="s">
        <v>43</v>
      </c>
      <c r="AD176" s="26" t="s">
        <v>77</v>
      </c>
      <c r="AE176" s="7">
        <v>395</v>
      </c>
      <c r="AF176" s="6">
        <v>455</v>
      </c>
      <c r="AG176" s="10">
        <v>9</v>
      </c>
      <c r="AH176" s="31" t="s">
        <v>54</v>
      </c>
    </row>
    <row r="177" ht="13.9" spans="1:34">
      <c r="A177" s="6">
        <v>2014</v>
      </c>
      <c r="B177" s="7">
        <v>0.85</v>
      </c>
      <c r="C177" s="6">
        <v>0.7</v>
      </c>
      <c r="D177" s="6">
        <v>4.45</v>
      </c>
      <c r="E177" s="6">
        <v>0.8</v>
      </c>
      <c r="F177" s="6">
        <v>0.5</v>
      </c>
      <c r="G177" s="6">
        <v>0.1</v>
      </c>
      <c r="H177" s="6">
        <v>0.25</v>
      </c>
      <c r="I177" s="6">
        <v>0</v>
      </c>
      <c r="J177" s="6">
        <v>0.15</v>
      </c>
      <c r="K177" s="6">
        <v>0.05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8">
        <f t="shared" si="8"/>
        <v>92.15</v>
      </c>
      <c r="U177" s="7">
        <v>500</v>
      </c>
      <c r="V177" s="6">
        <v>160</v>
      </c>
      <c r="W177" s="6">
        <v>18</v>
      </c>
      <c r="X177" s="6" t="s">
        <v>42</v>
      </c>
      <c r="Y177" s="6" t="s">
        <v>73</v>
      </c>
      <c r="Z177" s="6" t="s">
        <v>37</v>
      </c>
      <c r="AA177" s="6" t="s">
        <v>74</v>
      </c>
      <c r="AB177" s="6" t="s">
        <v>37</v>
      </c>
      <c r="AC177" s="6" t="s">
        <v>43</v>
      </c>
      <c r="AD177" s="26" t="s">
        <v>77</v>
      </c>
      <c r="AE177" s="7">
        <v>398</v>
      </c>
      <c r="AF177" s="6">
        <v>448</v>
      </c>
      <c r="AG177" s="10">
        <v>6.5</v>
      </c>
      <c r="AH177" s="31" t="s">
        <v>54</v>
      </c>
    </row>
    <row r="178" ht="13.9" spans="1:34">
      <c r="A178" s="5">
        <v>2014</v>
      </c>
      <c r="B178" s="41">
        <v>0.85</v>
      </c>
      <c r="C178" s="5">
        <v>0.7</v>
      </c>
      <c r="D178" s="5">
        <v>4.45</v>
      </c>
      <c r="E178" s="5">
        <v>0.8</v>
      </c>
      <c r="F178" s="5">
        <v>0.5</v>
      </c>
      <c r="G178" s="5">
        <v>0.1</v>
      </c>
      <c r="H178" s="5">
        <v>0.25</v>
      </c>
      <c r="I178" s="5">
        <v>0</v>
      </c>
      <c r="J178" s="5">
        <v>0.15</v>
      </c>
      <c r="K178" s="5">
        <v>0.05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42">
        <f t="shared" si="8"/>
        <v>92.15</v>
      </c>
      <c r="U178" s="41">
        <v>500</v>
      </c>
      <c r="V178" s="5">
        <v>160</v>
      </c>
      <c r="W178" s="5">
        <v>18</v>
      </c>
      <c r="X178" s="5" t="s">
        <v>44</v>
      </c>
      <c r="Y178" s="5" t="s">
        <v>73</v>
      </c>
      <c r="Z178" s="5" t="s">
        <v>37</v>
      </c>
      <c r="AA178" s="5" t="s">
        <v>74</v>
      </c>
      <c r="AB178" s="5" t="s">
        <v>37</v>
      </c>
      <c r="AC178" s="5" t="s">
        <v>51</v>
      </c>
      <c r="AD178" s="26" t="s">
        <v>77</v>
      </c>
      <c r="AE178" s="41">
        <v>399</v>
      </c>
      <c r="AF178" s="5">
        <v>446</v>
      </c>
      <c r="AG178" s="34">
        <v>7.6</v>
      </c>
      <c r="AH178" s="44" t="s">
        <v>91</v>
      </c>
    </row>
    <row r="179" ht="13.9" spans="1:34">
      <c r="A179" s="5">
        <v>2014</v>
      </c>
      <c r="B179" s="41">
        <v>0.85</v>
      </c>
      <c r="C179" s="5">
        <v>0.7</v>
      </c>
      <c r="D179" s="5">
        <v>4.45</v>
      </c>
      <c r="E179" s="5">
        <v>0.8</v>
      </c>
      <c r="F179" s="5">
        <v>0.5</v>
      </c>
      <c r="G179" s="5">
        <v>0.1</v>
      </c>
      <c r="H179" s="5">
        <v>0.25</v>
      </c>
      <c r="I179" s="5">
        <v>0</v>
      </c>
      <c r="J179" s="5">
        <v>0.15</v>
      </c>
      <c r="K179" s="5">
        <v>0.05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42">
        <f t="shared" si="8"/>
        <v>92.15</v>
      </c>
      <c r="U179" s="41">
        <v>500</v>
      </c>
      <c r="V179" s="5">
        <v>177</v>
      </c>
      <c r="W179" s="5">
        <v>18</v>
      </c>
      <c r="X179" s="5" t="s">
        <v>44</v>
      </c>
      <c r="Y179" s="5" t="s">
        <v>73</v>
      </c>
      <c r="Z179" s="5" t="s">
        <v>37</v>
      </c>
      <c r="AA179" s="5" t="s">
        <v>74</v>
      </c>
      <c r="AB179" s="5" t="s">
        <v>37</v>
      </c>
      <c r="AC179" s="5" t="s">
        <v>51</v>
      </c>
      <c r="AD179" s="26" t="s">
        <v>77</v>
      </c>
      <c r="AE179" s="41">
        <v>399</v>
      </c>
      <c r="AF179" s="5">
        <v>446</v>
      </c>
      <c r="AG179" s="34">
        <v>7.6</v>
      </c>
      <c r="AH179" s="44" t="s">
        <v>91</v>
      </c>
    </row>
    <row r="180" ht="13.9" spans="1:34">
      <c r="A180" s="6">
        <v>2014</v>
      </c>
      <c r="B180" s="7">
        <v>0.85</v>
      </c>
      <c r="C180" s="6">
        <v>0.7</v>
      </c>
      <c r="D180" s="6">
        <v>4.45</v>
      </c>
      <c r="E180" s="6">
        <v>0.8</v>
      </c>
      <c r="F180" s="6">
        <v>0.5</v>
      </c>
      <c r="G180" s="6">
        <v>0.1</v>
      </c>
      <c r="H180" s="6">
        <v>0.25</v>
      </c>
      <c r="I180" s="6">
        <v>0</v>
      </c>
      <c r="J180" s="6">
        <v>0.15</v>
      </c>
      <c r="K180" s="6">
        <v>0.05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8">
        <f t="shared" si="8"/>
        <v>92.15</v>
      </c>
      <c r="U180" s="7">
        <v>500</v>
      </c>
      <c r="V180" s="6">
        <v>160</v>
      </c>
      <c r="W180" s="6">
        <v>18</v>
      </c>
      <c r="X180" s="6" t="s">
        <v>44</v>
      </c>
      <c r="Y180" s="6" t="s">
        <v>73</v>
      </c>
      <c r="Z180" s="6" t="s">
        <v>37</v>
      </c>
      <c r="AA180" s="6" t="s">
        <v>74</v>
      </c>
      <c r="AB180" s="6" t="s">
        <v>37</v>
      </c>
      <c r="AC180" s="6" t="s">
        <v>69</v>
      </c>
      <c r="AD180" s="26" t="s">
        <v>77</v>
      </c>
      <c r="AE180" s="7">
        <v>399</v>
      </c>
      <c r="AF180" s="6">
        <v>446</v>
      </c>
      <c r="AG180" s="10">
        <v>7.6</v>
      </c>
      <c r="AH180" s="31" t="s">
        <v>92</v>
      </c>
    </row>
    <row r="181" ht="13.9" spans="1:34">
      <c r="A181" s="6">
        <v>2014</v>
      </c>
      <c r="B181" s="7">
        <v>0.85</v>
      </c>
      <c r="C181" s="6">
        <v>0.7</v>
      </c>
      <c r="D181" s="6">
        <v>4.45</v>
      </c>
      <c r="E181" s="6">
        <v>0.8</v>
      </c>
      <c r="F181" s="6">
        <v>0.5</v>
      </c>
      <c r="G181" s="6">
        <v>0.1</v>
      </c>
      <c r="H181" s="6">
        <v>0.25</v>
      </c>
      <c r="I181" s="6">
        <v>0</v>
      </c>
      <c r="J181" s="6">
        <v>0.15</v>
      </c>
      <c r="K181" s="6">
        <v>0.05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8">
        <f t="shared" si="8"/>
        <v>92.15</v>
      </c>
      <c r="U181" s="7">
        <v>500</v>
      </c>
      <c r="V181" s="6">
        <v>177</v>
      </c>
      <c r="W181" s="6">
        <v>18</v>
      </c>
      <c r="X181" s="6" t="s">
        <v>44</v>
      </c>
      <c r="Y181" s="6" t="s">
        <v>73</v>
      </c>
      <c r="Z181" s="6" t="s">
        <v>37</v>
      </c>
      <c r="AA181" s="6" t="s">
        <v>74</v>
      </c>
      <c r="AB181" s="6" t="s">
        <v>37</v>
      </c>
      <c r="AC181" s="6" t="s">
        <v>69</v>
      </c>
      <c r="AD181" s="26" t="s">
        <v>77</v>
      </c>
      <c r="AE181" s="7">
        <v>399</v>
      </c>
      <c r="AF181" s="6">
        <v>446</v>
      </c>
      <c r="AG181" s="10">
        <v>7.6</v>
      </c>
      <c r="AH181" s="31" t="s">
        <v>92</v>
      </c>
    </row>
    <row r="182" ht="13.9" spans="1:34">
      <c r="A182" s="6">
        <v>2014</v>
      </c>
      <c r="B182" s="7">
        <v>0.85</v>
      </c>
      <c r="C182" s="6">
        <v>0.7</v>
      </c>
      <c r="D182" s="6">
        <v>4.45</v>
      </c>
      <c r="E182" s="6">
        <v>0.8</v>
      </c>
      <c r="F182" s="6">
        <v>0.5</v>
      </c>
      <c r="G182" s="6">
        <v>0.1</v>
      </c>
      <c r="H182" s="6">
        <v>0.25</v>
      </c>
      <c r="I182" s="6">
        <v>0</v>
      </c>
      <c r="J182" s="6">
        <v>0.15</v>
      </c>
      <c r="K182" s="6">
        <v>0.05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8">
        <f t="shared" si="8"/>
        <v>92.15</v>
      </c>
      <c r="U182" s="7">
        <v>500</v>
      </c>
      <c r="V182" s="6">
        <v>160</v>
      </c>
      <c r="W182" s="6">
        <v>18</v>
      </c>
      <c r="X182" s="6" t="s">
        <v>44</v>
      </c>
      <c r="Y182" s="6" t="s">
        <v>73</v>
      </c>
      <c r="Z182" s="6" t="s">
        <v>37</v>
      </c>
      <c r="AA182" s="6" t="s">
        <v>74</v>
      </c>
      <c r="AB182" s="6" t="s">
        <v>37</v>
      </c>
      <c r="AC182" s="6" t="s">
        <v>45</v>
      </c>
      <c r="AD182" s="26" t="s">
        <v>77</v>
      </c>
      <c r="AE182" s="7">
        <v>399</v>
      </c>
      <c r="AF182" s="6">
        <v>446</v>
      </c>
      <c r="AG182" s="10">
        <v>7.6</v>
      </c>
      <c r="AH182" s="31" t="s">
        <v>92</v>
      </c>
    </row>
    <row r="183" ht="13.9" spans="1:34">
      <c r="A183" s="6">
        <v>2014</v>
      </c>
      <c r="B183" s="7">
        <v>0.85</v>
      </c>
      <c r="C183" s="6">
        <v>0.7</v>
      </c>
      <c r="D183" s="6">
        <v>4.45</v>
      </c>
      <c r="E183" s="6">
        <v>0.8</v>
      </c>
      <c r="F183" s="6">
        <v>0.5</v>
      </c>
      <c r="G183" s="6">
        <v>0.1</v>
      </c>
      <c r="H183" s="6">
        <v>0.25</v>
      </c>
      <c r="I183" s="6">
        <v>0</v>
      </c>
      <c r="J183" s="6">
        <v>0.15</v>
      </c>
      <c r="K183" s="6">
        <v>0.05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8">
        <f t="shared" si="8"/>
        <v>92.15</v>
      </c>
      <c r="U183" s="7">
        <v>500</v>
      </c>
      <c r="V183" s="6">
        <v>177</v>
      </c>
      <c r="W183" s="6">
        <v>18</v>
      </c>
      <c r="X183" s="6" t="s">
        <v>44</v>
      </c>
      <c r="Y183" s="6" t="s">
        <v>73</v>
      </c>
      <c r="Z183" s="6" t="s">
        <v>37</v>
      </c>
      <c r="AA183" s="6" t="s">
        <v>74</v>
      </c>
      <c r="AB183" s="6" t="s">
        <v>37</v>
      </c>
      <c r="AC183" s="6" t="s">
        <v>45</v>
      </c>
      <c r="AD183" s="26" t="s">
        <v>77</v>
      </c>
      <c r="AE183" s="7">
        <v>399</v>
      </c>
      <c r="AF183" s="6">
        <v>446</v>
      </c>
      <c r="AG183" s="10">
        <v>7.6</v>
      </c>
      <c r="AH183" s="31" t="s">
        <v>92</v>
      </c>
    </row>
    <row r="184" ht="13.9" spans="1:34">
      <c r="A184" s="6">
        <v>2014</v>
      </c>
      <c r="B184" s="7">
        <v>0.85</v>
      </c>
      <c r="C184" s="6">
        <v>0.7</v>
      </c>
      <c r="D184" s="6">
        <v>4.45</v>
      </c>
      <c r="E184" s="6">
        <v>0.8</v>
      </c>
      <c r="F184" s="6">
        <v>0.5</v>
      </c>
      <c r="G184" s="6">
        <v>0.1</v>
      </c>
      <c r="H184" s="6">
        <v>0.25</v>
      </c>
      <c r="I184" s="6">
        <v>0</v>
      </c>
      <c r="J184" s="6">
        <v>0.15</v>
      </c>
      <c r="K184" s="6">
        <v>0.05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8">
        <f t="shared" si="8"/>
        <v>92.15</v>
      </c>
      <c r="U184" s="7">
        <v>500</v>
      </c>
      <c r="V184" s="6">
        <v>160</v>
      </c>
      <c r="W184" s="6">
        <v>18</v>
      </c>
      <c r="X184" s="6" t="s">
        <v>44</v>
      </c>
      <c r="Y184" s="6" t="s">
        <v>73</v>
      </c>
      <c r="Z184" s="6" t="s">
        <v>37</v>
      </c>
      <c r="AA184" s="6" t="s">
        <v>74</v>
      </c>
      <c r="AB184" s="6" t="s">
        <v>37</v>
      </c>
      <c r="AC184" s="6" t="s">
        <v>38</v>
      </c>
      <c r="AD184" s="26" t="s">
        <v>77</v>
      </c>
      <c r="AE184" s="7">
        <v>399</v>
      </c>
      <c r="AF184" s="6">
        <v>446</v>
      </c>
      <c r="AG184" s="10">
        <v>7.6</v>
      </c>
      <c r="AH184" s="31" t="s">
        <v>92</v>
      </c>
    </row>
    <row r="185" ht="13.9" spans="1:34">
      <c r="A185" s="6">
        <v>2014</v>
      </c>
      <c r="B185" s="7">
        <v>0.85</v>
      </c>
      <c r="C185" s="6">
        <v>0.7</v>
      </c>
      <c r="D185" s="6">
        <v>4.45</v>
      </c>
      <c r="E185" s="6">
        <v>0.8</v>
      </c>
      <c r="F185" s="6">
        <v>0.5</v>
      </c>
      <c r="G185" s="6">
        <v>0.1</v>
      </c>
      <c r="H185" s="6">
        <v>0.25</v>
      </c>
      <c r="I185" s="6">
        <v>0</v>
      </c>
      <c r="J185" s="6">
        <v>0.15</v>
      </c>
      <c r="K185" s="6">
        <v>0.05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8">
        <f t="shared" si="8"/>
        <v>92.15</v>
      </c>
      <c r="U185" s="7">
        <v>500</v>
      </c>
      <c r="V185" s="6">
        <v>177</v>
      </c>
      <c r="W185" s="6">
        <v>18</v>
      </c>
      <c r="X185" s="6" t="s">
        <v>44</v>
      </c>
      <c r="Y185" s="6" t="s">
        <v>73</v>
      </c>
      <c r="Z185" s="6" t="s">
        <v>37</v>
      </c>
      <c r="AA185" s="6" t="s">
        <v>74</v>
      </c>
      <c r="AB185" s="6" t="s">
        <v>37</v>
      </c>
      <c r="AC185" s="6" t="s">
        <v>38</v>
      </c>
      <c r="AD185" s="26" t="s">
        <v>77</v>
      </c>
      <c r="AE185" s="7">
        <v>399</v>
      </c>
      <c r="AF185" s="6">
        <v>446</v>
      </c>
      <c r="AG185" s="10">
        <v>7.6</v>
      </c>
      <c r="AH185" s="31" t="s">
        <v>92</v>
      </c>
    </row>
    <row r="186" ht="13.9" spans="1:34">
      <c r="A186" s="6">
        <v>2014</v>
      </c>
      <c r="B186" s="7">
        <v>0.85</v>
      </c>
      <c r="C186" s="6">
        <v>0.7</v>
      </c>
      <c r="D186" s="6">
        <v>4.45</v>
      </c>
      <c r="E186" s="6">
        <v>0.8</v>
      </c>
      <c r="F186" s="6">
        <v>0.5</v>
      </c>
      <c r="G186" s="6">
        <v>0.1</v>
      </c>
      <c r="H186" s="6">
        <v>0.25</v>
      </c>
      <c r="I186" s="6">
        <v>0</v>
      </c>
      <c r="J186" s="6">
        <v>0.15</v>
      </c>
      <c r="K186" s="6">
        <v>0.05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8">
        <v>92.15</v>
      </c>
      <c r="U186" s="7">
        <v>500</v>
      </c>
      <c r="V186" s="6">
        <v>160</v>
      </c>
      <c r="W186" s="6">
        <v>18</v>
      </c>
      <c r="X186" s="6" t="s">
        <v>44</v>
      </c>
      <c r="Y186" s="6" t="s">
        <v>73</v>
      </c>
      <c r="Z186" s="6" t="s">
        <v>84</v>
      </c>
      <c r="AA186" s="6" t="s">
        <v>74</v>
      </c>
      <c r="AB186" s="6" t="s">
        <v>37</v>
      </c>
      <c r="AC186" s="6" t="s">
        <v>51</v>
      </c>
      <c r="AD186" s="26" t="s">
        <v>90</v>
      </c>
      <c r="AE186" s="7">
        <v>393</v>
      </c>
      <c r="AF186" s="6">
        <v>442</v>
      </c>
      <c r="AG186" s="10">
        <v>7</v>
      </c>
      <c r="AH186" s="31" t="s">
        <v>54</v>
      </c>
    </row>
    <row r="187" ht="13.9" spans="1:34">
      <c r="A187" s="6">
        <v>2014</v>
      </c>
      <c r="B187" s="7">
        <v>0.85</v>
      </c>
      <c r="C187" s="6">
        <v>0.7</v>
      </c>
      <c r="D187" s="6">
        <v>4.45</v>
      </c>
      <c r="E187" s="6">
        <v>0.8</v>
      </c>
      <c r="F187" s="6">
        <v>0.5</v>
      </c>
      <c r="G187" s="6">
        <v>0.1</v>
      </c>
      <c r="H187" s="6">
        <v>0.25</v>
      </c>
      <c r="I187" s="6">
        <v>0</v>
      </c>
      <c r="J187" s="6">
        <v>0.15</v>
      </c>
      <c r="K187" s="6">
        <v>0.05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8">
        <v>92.15</v>
      </c>
      <c r="U187" s="7">
        <v>500</v>
      </c>
      <c r="V187" s="6">
        <v>177</v>
      </c>
      <c r="W187" s="6">
        <v>18</v>
      </c>
      <c r="X187" s="6" t="s">
        <v>44</v>
      </c>
      <c r="Y187" s="6" t="s">
        <v>73</v>
      </c>
      <c r="Z187" s="6" t="s">
        <v>84</v>
      </c>
      <c r="AA187" s="6" t="s">
        <v>74</v>
      </c>
      <c r="AB187" s="6" t="s">
        <v>37</v>
      </c>
      <c r="AC187" s="6" t="s">
        <v>51</v>
      </c>
      <c r="AD187" s="26" t="s">
        <v>90</v>
      </c>
      <c r="AE187" s="7">
        <v>393</v>
      </c>
      <c r="AF187" s="6">
        <v>442</v>
      </c>
      <c r="AG187" s="10">
        <v>7</v>
      </c>
      <c r="AH187" s="31" t="s">
        <v>54</v>
      </c>
    </row>
    <row r="188" ht="13.9" spans="1:34">
      <c r="A188" s="6">
        <v>2014</v>
      </c>
      <c r="B188" s="7">
        <v>0.85</v>
      </c>
      <c r="C188" s="6">
        <v>0.7</v>
      </c>
      <c r="D188" s="6">
        <v>4.45</v>
      </c>
      <c r="E188" s="6">
        <v>0.8</v>
      </c>
      <c r="F188" s="6">
        <v>0.5</v>
      </c>
      <c r="G188" s="6">
        <v>0.1</v>
      </c>
      <c r="H188" s="6">
        <v>0.25</v>
      </c>
      <c r="I188" s="6">
        <v>0</v>
      </c>
      <c r="J188" s="6">
        <v>0.15</v>
      </c>
      <c r="K188" s="6">
        <v>0.05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8">
        <v>92.15</v>
      </c>
      <c r="U188" s="7">
        <v>500</v>
      </c>
      <c r="V188" s="6">
        <v>160</v>
      </c>
      <c r="W188" s="6">
        <v>18</v>
      </c>
      <c r="X188" s="6" t="s">
        <v>42</v>
      </c>
      <c r="Y188" s="6" t="s">
        <v>73</v>
      </c>
      <c r="Z188" s="6" t="s">
        <v>84</v>
      </c>
      <c r="AA188" s="6" t="s">
        <v>74</v>
      </c>
      <c r="AB188" s="6" t="s">
        <v>37</v>
      </c>
      <c r="AC188" s="6" t="s">
        <v>59</v>
      </c>
      <c r="AD188" s="26" t="s">
        <v>90</v>
      </c>
      <c r="AE188" s="7">
        <v>393</v>
      </c>
      <c r="AF188" s="6">
        <v>442</v>
      </c>
      <c r="AG188" s="10">
        <v>3.6</v>
      </c>
      <c r="AH188" s="31" t="s">
        <v>54</v>
      </c>
    </row>
    <row r="189" ht="13.9" spans="1:34">
      <c r="A189" s="6">
        <v>2014</v>
      </c>
      <c r="B189" s="7">
        <v>0.85</v>
      </c>
      <c r="C189" s="6">
        <v>0.7</v>
      </c>
      <c r="D189" s="6">
        <v>4.45</v>
      </c>
      <c r="E189" s="6">
        <v>0.8</v>
      </c>
      <c r="F189" s="6">
        <v>0.5</v>
      </c>
      <c r="G189" s="6">
        <v>0.1</v>
      </c>
      <c r="H189" s="6">
        <v>0.25</v>
      </c>
      <c r="I189" s="6">
        <v>0</v>
      </c>
      <c r="J189" s="6">
        <v>0.15</v>
      </c>
      <c r="K189" s="6">
        <v>0.05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8">
        <v>92.15</v>
      </c>
      <c r="U189" s="7">
        <v>500</v>
      </c>
      <c r="V189" s="6">
        <v>160</v>
      </c>
      <c r="W189" s="6">
        <v>18</v>
      </c>
      <c r="X189" s="6" t="s">
        <v>44</v>
      </c>
      <c r="Y189" s="6" t="s">
        <v>73</v>
      </c>
      <c r="Z189" s="6" t="s">
        <v>84</v>
      </c>
      <c r="AA189" s="6" t="s">
        <v>74</v>
      </c>
      <c r="AB189" s="6" t="s">
        <v>37</v>
      </c>
      <c r="AC189" s="6" t="s">
        <v>69</v>
      </c>
      <c r="AD189" s="26" t="s">
        <v>90</v>
      </c>
      <c r="AE189" s="7">
        <v>393</v>
      </c>
      <c r="AF189" s="6">
        <v>442</v>
      </c>
      <c r="AG189" s="10">
        <v>7</v>
      </c>
      <c r="AH189" s="31" t="s">
        <v>54</v>
      </c>
    </row>
    <row r="190" ht="13.9" spans="1:34">
      <c r="A190" s="6">
        <v>2014</v>
      </c>
      <c r="B190" s="7">
        <v>0.85</v>
      </c>
      <c r="C190" s="6">
        <v>0.7</v>
      </c>
      <c r="D190" s="6">
        <v>4.45</v>
      </c>
      <c r="E190" s="6">
        <v>0.8</v>
      </c>
      <c r="F190" s="6">
        <v>0.5</v>
      </c>
      <c r="G190" s="6">
        <v>0.1</v>
      </c>
      <c r="H190" s="6">
        <v>0.25</v>
      </c>
      <c r="I190" s="6">
        <v>0</v>
      </c>
      <c r="J190" s="6">
        <v>0.15</v>
      </c>
      <c r="K190" s="6">
        <v>0.05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8">
        <v>92.15</v>
      </c>
      <c r="U190" s="7">
        <v>500</v>
      </c>
      <c r="V190" s="6">
        <v>177</v>
      </c>
      <c r="W190" s="6">
        <v>18</v>
      </c>
      <c r="X190" s="6" t="s">
        <v>44</v>
      </c>
      <c r="Y190" s="6" t="s">
        <v>73</v>
      </c>
      <c r="Z190" s="6" t="s">
        <v>84</v>
      </c>
      <c r="AA190" s="6" t="s">
        <v>74</v>
      </c>
      <c r="AB190" s="6" t="s">
        <v>37</v>
      </c>
      <c r="AC190" s="6" t="s">
        <v>69</v>
      </c>
      <c r="AD190" s="26" t="s">
        <v>90</v>
      </c>
      <c r="AE190" s="7">
        <v>393</v>
      </c>
      <c r="AF190" s="6">
        <v>442</v>
      </c>
      <c r="AG190" s="10">
        <v>7</v>
      </c>
      <c r="AH190" s="31" t="s">
        <v>54</v>
      </c>
    </row>
    <row r="191" ht="13.9" spans="1:34">
      <c r="A191" s="6">
        <v>2014</v>
      </c>
      <c r="B191" s="7">
        <v>0.85</v>
      </c>
      <c r="C191" s="6">
        <v>0.7</v>
      </c>
      <c r="D191" s="6">
        <v>4.45</v>
      </c>
      <c r="E191" s="6">
        <v>0.8</v>
      </c>
      <c r="F191" s="6">
        <v>0.5</v>
      </c>
      <c r="G191" s="6">
        <v>0.1</v>
      </c>
      <c r="H191" s="6">
        <v>0.25</v>
      </c>
      <c r="I191" s="6">
        <v>0</v>
      </c>
      <c r="J191" s="6">
        <v>0.15</v>
      </c>
      <c r="K191" s="6">
        <v>0.05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8">
        <v>92.15</v>
      </c>
      <c r="U191" s="7">
        <v>500</v>
      </c>
      <c r="V191" s="6">
        <v>160</v>
      </c>
      <c r="W191" s="6">
        <v>18</v>
      </c>
      <c r="X191" s="6" t="s">
        <v>44</v>
      </c>
      <c r="Y191" s="6" t="s">
        <v>73</v>
      </c>
      <c r="Z191" s="6" t="s">
        <v>84</v>
      </c>
      <c r="AA191" s="6" t="s">
        <v>74</v>
      </c>
      <c r="AB191" s="6" t="s">
        <v>37</v>
      </c>
      <c r="AC191" s="6" t="s">
        <v>45</v>
      </c>
      <c r="AD191" s="26" t="s">
        <v>90</v>
      </c>
      <c r="AE191" s="7">
        <v>393</v>
      </c>
      <c r="AF191" s="6">
        <v>442</v>
      </c>
      <c r="AG191" s="10">
        <v>7</v>
      </c>
      <c r="AH191" s="31" t="s">
        <v>54</v>
      </c>
    </row>
    <row r="192" ht="13.9" spans="1:34">
      <c r="A192" s="6">
        <v>2014</v>
      </c>
      <c r="B192" s="7">
        <v>0.85</v>
      </c>
      <c r="C192" s="6">
        <v>0.7</v>
      </c>
      <c r="D192" s="6">
        <v>4.45</v>
      </c>
      <c r="E192" s="6">
        <v>0.8</v>
      </c>
      <c r="F192" s="6">
        <v>0.5</v>
      </c>
      <c r="G192" s="6">
        <v>0.1</v>
      </c>
      <c r="H192" s="6">
        <v>0.25</v>
      </c>
      <c r="I192" s="6">
        <v>0</v>
      </c>
      <c r="J192" s="6">
        <v>0.15</v>
      </c>
      <c r="K192" s="6">
        <v>0.05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8">
        <v>92.15</v>
      </c>
      <c r="U192" s="7">
        <v>500</v>
      </c>
      <c r="V192" s="6">
        <v>177</v>
      </c>
      <c r="W192" s="6">
        <v>18</v>
      </c>
      <c r="X192" s="6" t="s">
        <v>44</v>
      </c>
      <c r="Y192" s="6" t="s">
        <v>73</v>
      </c>
      <c r="Z192" s="6" t="s">
        <v>84</v>
      </c>
      <c r="AA192" s="6" t="s">
        <v>74</v>
      </c>
      <c r="AB192" s="6" t="s">
        <v>37</v>
      </c>
      <c r="AC192" s="6" t="s">
        <v>45</v>
      </c>
      <c r="AD192" s="26" t="s">
        <v>90</v>
      </c>
      <c r="AE192" s="7">
        <v>393</v>
      </c>
      <c r="AF192" s="6">
        <v>442</v>
      </c>
      <c r="AG192" s="10">
        <v>7</v>
      </c>
      <c r="AH192" s="31" t="s">
        <v>54</v>
      </c>
    </row>
    <row r="193" ht="13.9" spans="1:34">
      <c r="A193" s="6">
        <v>2014</v>
      </c>
      <c r="B193" s="7">
        <v>0.85</v>
      </c>
      <c r="C193" s="6">
        <v>0.7</v>
      </c>
      <c r="D193" s="6">
        <v>4.45</v>
      </c>
      <c r="E193" s="6">
        <v>0.8</v>
      </c>
      <c r="F193" s="6">
        <v>0.5</v>
      </c>
      <c r="G193" s="6">
        <v>0.1</v>
      </c>
      <c r="H193" s="6">
        <v>0.25</v>
      </c>
      <c r="I193" s="6">
        <v>0</v>
      </c>
      <c r="J193" s="6">
        <v>0.15</v>
      </c>
      <c r="K193" s="6">
        <v>0.05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8">
        <v>92.15</v>
      </c>
      <c r="U193" s="7">
        <v>500</v>
      </c>
      <c r="V193" s="6">
        <v>160</v>
      </c>
      <c r="W193" s="6">
        <v>18</v>
      </c>
      <c r="X193" s="6" t="s">
        <v>44</v>
      </c>
      <c r="Y193" s="6" t="s">
        <v>73</v>
      </c>
      <c r="Z193" s="6" t="s">
        <v>84</v>
      </c>
      <c r="AA193" s="6" t="s">
        <v>74</v>
      </c>
      <c r="AB193" s="6" t="s">
        <v>37</v>
      </c>
      <c r="AC193" s="6" t="s">
        <v>38</v>
      </c>
      <c r="AD193" s="26" t="s">
        <v>90</v>
      </c>
      <c r="AE193" s="7">
        <v>393</v>
      </c>
      <c r="AF193" s="6">
        <v>442</v>
      </c>
      <c r="AG193" s="10">
        <v>7</v>
      </c>
      <c r="AH193" s="31" t="s">
        <v>54</v>
      </c>
    </row>
    <row r="194" ht="13.9" spans="1:34">
      <c r="A194" s="6">
        <v>2014</v>
      </c>
      <c r="B194" s="7">
        <v>0.85</v>
      </c>
      <c r="C194" s="6">
        <v>0.7</v>
      </c>
      <c r="D194" s="6">
        <v>4.45</v>
      </c>
      <c r="E194" s="6">
        <v>0.8</v>
      </c>
      <c r="F194" s="6">
        <v>0.5</v>
      </c>
      <c r="G194" s="6">
        <v>0.1</v>
      </c>
      <c r="H194" s="6">
        <v>0.25</v>
      </c>
      <c r="I194" s="6">
        <v>0</v>
      </c>
      <c r="J194" s="6">
        <v>0.15</v>
      </c>
      <c r="K194" s="6">
        <v>0.05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8">
        <v>92.15</v>
      </c>
      <c r="U194" s="7">
        <v>500</v>
      </c>
      <c r="V194" s="6">
        <v>177</v>
      </c>
      <c r="W194" s="6">
        <v>18</v>
      </c>
      <c r="X194" s="6" t="s">
        <v>44</v>
      </c>
      <c r="Y194" s="6" t="s">
        <v>73</v>
      </c>
      <c r="Z194" s="6" t="s">
        <v>84</v>
      </c>
      <c r="AA194" s="6" t="s">
        <v>74</v>
      </c>
      <c r="AB194" s="6" t="s">
        <v>37</v>
      </c>
      <c r="AC194" s="6" t="s">
        <v>38</v>
      </c>
      <c r="AD194" s="26" t="s">
        <v>90</v>
      </c>
      <c r="AE194" s="7">
        <v>393</v>
      </c>
      <c r="AF194" s="6">
        <v>442</v>
      </c>
      <c r="AG194" s="10">
        <v>7</v>
      </c>
      <c r="AH194" s="31" t="s">
        <v>54</v>
      </c>
    </row>
    <row r="195" ht="13.9" spans="1:34">
      <c r="A195" s="6">
        <v>2014</v>
      </c>
      <c r="B195" s="7">
        <v>0.85</v>
      </c>
      <c r="C195" s="6">
        <v>0.7</v>
      </c>
      <c r="D195" s="6">
        <v>4.45</v>
      </c>
      <c r="E195" s="6">
        <v>0.8</v>
      </c>
      <c r="F195" s="6">
        <v>0.5</v>
      </c>
      <c r="G195" s="6">
        <v>0.1</v>
      </c>
      <c r="H195" s="6">
        <v>0.25</v>
      </c>
      <c r="I195" s="6">
        <v>0</v>
      </c>
      <c r="J195" s="6">
        <v>0.15</v>
      </c>
      <c r="K195" s="6">
        <v>0.05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8">
        <f t="shared" ref="T195:T214" si="9">100-SUM(B195:S195)</f>
        <v>92.15</v>
      </c>
      <c r="U195" s="7">
        <v>500</v>
      </c>
      <c r="V195" s="6">
        <v>205</v>
      </c>
      <c r="W195" s="6">
        <v>2</v>
      </c>
      <c r="X195" s="6" t="s">
        <v>42</v>
      </c>
      <c r="Y195" s="6" t="s">
        <v>73</v>
      </c>
      <c r="Z195" s="6" t="s">
        <v>37</v>
      </c>
      <c r="AA195" s="6" t="s">
        <v>74</v>
      </c>
      <c r="AB195" s="6" t="s">
        <v>37</v>
      </c>
      <c r="AC195" s="6" t="s">
        <v>43</v>
      </c>
      <c r="AD195" s="26" t="s">
        <v>77</v>
      </c>
      <c r="AE195" s="7">
        <v>395</v>
      </c>
      <c r="AF195" s="6">
        <v>440</v>
      </c>
      <c r="AG195" s="10">
        <v>9</v>
      </c>
      <c r="AH195" s="31" t="s">
        <v>54</v>
      </c>
    </row>
    <row r="196" ht="13.9" spans="1:34">
      <c r="A196" s="6">
        <v>2014</v>
      </c>
      <c r="B196" s="7">
        <v>0.85</v>
      </c>
      <c r="C196" s="6">
        <v>0.7</v>
      </c>
      <c r="D196" s="6">
        <v>4.45</v>
      </c>
      <c r="E196" s="6">
        <v>0.8</v>
      </c>
      <c r="F196" s="6">
        <v>0.5</v>
      </c>
      <c r="G196" s="6">
        <v>0.1</v>
      </c>
      <c r="H196" s="6">
        <v>0.25</v>
      </c>
      <c r="I196" s="6">
        <v>0</v>
      </c>
      <c r="J196" s="6">
        <v>0.15</v>
      </c>
      <c r="K196" s="6">
        <v>0.05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8">
        <f t="shared" si="9"/>
        <v>92.15</v>
      </c>
      <c r="U196" s="7">
        <v>500</v>
      </c>
      <c r="V196" s="6">
        <v>230</v>
      </c>
      <c r="W196" s="6">
        <v>0.5</v>
      </c>
      <c r="X196" s="6" t="s">
        <v>42</v>
      </c>
      <c r="Y196" s="6" t="s">
        <v>73</v>
      </c>
      <c r="Z196" s="6" t="s">
        <v>37</v>
      </c>
      <c r="AA196" s="6" t="s">
        <v>74</v>
      </c>
      <c r="AB196" s="6" t="s">
        <v>37</v>
      </c>
      <c r="AC196" s="6" t="s">
        <v>43</v>
      </c>
      <c r="AD196" s="26" t="s">
        <v>77</v>
      </c>
      <c r="AE196" s="7">
        <v>370</v>
      </c>
      <c r="AF196" s="6">
        <v>440</v>
      </c>
      <c r="AG196" s="10">
        <v>9</v>
      </c>
      <c r="AH196" s="31" t="s">
        <v>54</v>
      </c>
    </row>
    <row r="197" ht="13.9" spans="1:34">
      <c r="A197" s="6">
        <v>2014</v>
      </c>
      <c r="B197" s="7">
        <v>0.85</v>
      </c>
      <c r="C197" s="6">
        <v>0.7</v>
      </c>
      <c r="D197" s="6">
        <v>4.45</v>
      </c>
      <c r="E197" s="6">
        <v>0.8</v>
      </c>
      <c r="F197" s="6">
        <v>0.5</v>
      </c>
      <c r="G197" s="6">
        <v>0.1</v>
      </c>
      <c r="H197" s="6">
        <v>0.25</v>
      </c>
      <c r="I197" s="6">
        <v>0</v>
      </c>
      <c r="J197" s="6">
        <v>0.15</v>
      </c>
      <c r="K197" s="6">
        <v>0.05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8">
        <f t="shared" si="9"/>
        <v>92.15</v>
      </c>
      <c r="U197" s="7">
        <v>500</v>
      </c>
      <c r="V197" s="6">
        <v>160</v>
      </c>
      <c r="W197" s="6">
        <v>18</v>
      </c>
      <c r="X197" s="6" t="s">
        <v>42</v>
      </c>
      <c r="Y197" s="6" t="s">
        <v>73</v>
      </c>
      <c r="Z197" s="6" t="s">
        <v>37</v>
      </c>
      <c r="AA197" s="6" t="s">
        <v>74</v>
      </c>
      <c r="AB197" s="6" t="s">
        <v>37</v>
      </c>
      <c r="AC197" s="6" t="s">
        <v>59</v>
      </c>
      <c r="AD197" s="26" t="s">
        <v>77</v>
      </c>
      <c r="AE197" s="7">
        <v>395</v>
      </c>
      <c r="AF197" s="6">
        <v>438</v>
      </c>
      <c r="AG197" s="10">
        <v>2.5</v>
      </c>
      <c r="AH197" s="31" t="s">
        <v>92</v>
      </c>
    </row>
    <row r="198" ht="13.9" spans="1:34">
      <c r="A198" s="6">
        <v>2014</v>
      </c>
      <c r="B198" s="7">
        <v>0.85</v>
      </c>
      <c r="C198" s="6">
        <v>0.7</v>
      </c>
      <c r="D198" s="6">
        <v>4.45</v>
      </c>
      <c r="E198" s="6">
        <v>0.8</v>
      </c>
      <c r="F198" s="6">
        <v>0.5</v>
      </c>
      <c r="G198" s="6">
        <v>0.1</v>
      </c>
      <c r="H198" s="6">
        <v>0.25</v>
      </c>
      <c r="I198" s="6">
        <v>0</v>
      </c>
      <c r="J198" s="6">
        <v>0.15</v>
      </c>
      <c r="K198" s="6">
        <v>0.05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8">
        <f t="shared" si="9"/>
        <v>92.15</v>
      </c>
      <c r="U198" s="7">
        <v>500</v>
      </c>
      <c r="V198" s="6">
        <v>160</v>
      </c>
      <c r="W198" s="6">
        <v>18</v>
      </c>
      <c r="X198" s="6" t="s">
        <v>42</v>
      </c>
      <c r="Y198" s="6" t="s">
        <v>73</v>
      </c>
      <c r="Z198" s="6" t="s">
        <v>93</v>
      </c>
      <c r="AA198" s="6" t="s">
        <v>74</v>
      </c>
      <c r="AB198" s="6" t="s">
        <v>37</v>
      </c>
      <c r="AC198" s="6" t="s">
        <v>94</v>
      </c>
      <c r="AD198" s="26" t="s">
        <v>95</v>
      </c>
      <c r="AE198" s="7">
        <v>372</v>
      </c>
      <c r="AF198" s="6">
        <v>433</v>
      </c>
      <c r="AG198" s="10">
        <v>4</v>
      </c>
      <c r="AH198" s="31" t="s">
        <v>54</v>
      </c>
    </row>
    <row r="199" ht="13.9" spans="1:34">
      <c r="A199" s="6">
        <v>2014</v>
      </c>
      <c r="B199" s="7">
        <v>0.85</v>
      </c>
      <c r="C199" s="6">
        <v>0.7</v>
      </c>
      <c r="D199" s="6">
        <v>4.45</v>
      </c>
      <c r="E199" s="6">
        <v>0.8</v>
      </c>
      <c r="F199" s="6">
        <v>0.5</v>
      </c>
      <c r="G199" s="6">
        <v>0.1</v>
      </c>
      <c r="H199" s="6">
        <v>0.25</v>
      </c>
      <c r="I199" s="6">
        <v>0</v>
      </c>
      <c r="J199" s="6">
        <v>0.15</v>
      </c>
      <c r="K199" s="6">
        <v>0.05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8">
        <f t="shared" si="9"/>
        <v>92.15</v>
      </c>
      <c r="U199" s="7">
        <v>500</v>
      </c>
      <c r="V199" s="6">
        <v>160</v>
      </c>
      <c r="W199" s="6">
        <v>18</v>
      </c>
      <c r="X199" s="6" t="s">
        <v>42</v>
      </c>
      <c r="Y199" s="6" t="s">
        <v>73</v>
      </c>
      <c r="Z199" s="6" t="s">
        <v>37</v>
      </c>
      <c r="AA199" s="6" t="s">
        <v>74</v>
      </c>
      <c r="AB199" s="6" t="s">
        <v>37</v>
      </c>
      <c r="AC199" s="6" t="s">
        <v>94</v>
      </c>
      <c r="AD199" s="26" t="s">
        <v>77</v>
      </c>
      <c r="AE199" s="7">
        <v>372</v>
      </c>
      <c r="AF199" s="6">
        <v>433</v>
      </c>
      <c r="AG199" s="10">
        <v>4</v>
      </c>
      <c r="AH199" s="31" t="s">
        <v>54</v>
      </c>
    </row>
    <row r="200" ht="13.9" spans="1:34">
      <c r="A200" s="6">
        <v>2014</v>
      </c>
      <c r="B200" s="7">
        <v>0.85</v>
      </c>
      <c r="C200" s="6">
        <v>0.7</v>
      </c>
      <c r="D200" s="6">
        <v>4.45</v>
      </c>
      <c r="E200" s="6">
        <v>0.8</v>
      </c>
      <c r="F200" s="6">
        <v>0.5</v>
      </c>
      <c r="G200" s="6">
        <v>0.1</v>
      </c>
      <c r="H200" s="6">
        <v>0.25</v>
      </c>
      <c r="I200" s="6">
        <v>0</v>
      </c>
      <c r="J200" s="6">
        <v>0.15</v>
      </c>
      <c r="K200" s="6">
        <v>0.05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8">
        <f t="shared" si="9"/>
        <v>92.15</v>
      </c>
      <c r="U200" s="7">
        <v>500</v>
      </c>
      <c r="V200" s="6">
        <v>177</v>
      </c>
      <c r="W200" s="6">
        <v>18</v>
      </c>
      <c r="X200" s="6" t="s">
        <v>42</v>
      </c>
      <c r="Y200" s="6" t="s">
        <v>73</v>
      </c>
      <c r="Z200" s="6" t="s">
        <v>37</v>
      </c>
      <c r="AA200" s="6" t="s">
        <v>74</v>
      </c>
      <c r="AB200" s="6" t="s">
        <v>37</v>
      </c>
      <c r="AC200" s="6" t="s">
        <v>94</v>
      </c>
      <c r="AD200" s="26" t="s">
        <v>77</v>
      </c>
      <c r="AE200" s="7">
        <v>372</v>
      </c>
      <c r="AF200" s="6">
        <v>433</v>
      </c>
      <c r="AG200" s="10">
        <v>4</v>
      </c>
      <c r="AH200" s="31" t="s">
        <v>54</v>
      </c>
    </row>
    <row r="201" ht="13.9" spans="1:34">
      <c r="A201" s="6">
        <v>2014</v>
      </c>
      <c r="B201" s="7">
        <v>0.85</v>
      </c>
      <c r="C201" s="6">
        <v>0.7</v>
      </c>
      <c r="D201" s="6">
        <v>4.45</v>
      </c>
      <c r="E201" s="6">
        <v>0.8</v>
      </c>
      <c r="F201" s="6">
        <v>0.5</v>
      </c>
      <c r="G201" s="6">
        <v>0.1</v>
      </c>
      <c r="H201" s="6">
        <v>0.25</v>
      </c>
      <c r="I201" s="6">
        <v>0</v>
      </c>
      <c r="J201" s="6">
        <v>0.15</v>
      </c>
      <c r="K201" s="6">
        <v>0.05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8">
        <f t="shared" si="9"/>
        <v>92.15</v>
      </c>
      <c r="U201" s="7">
        <v>500</v>
      </c>
      <c r="V201" s="6">
        <v>170</v>
      </c>
      <c r="W201" s="6">
        <v>10</v>
      </c>
      <c r="X201" s="6" t="s">
        <v>96</v>
      </c>
      <c r="Y201" s="6" t="s">
        <v>73</v>
      </c>
      <c r="Z201" s="6" t="s">
        <v>37</v>
      </c>
      <c r="AA201" s="6" t="s">
        <v>74</v>
      </c>
      <c r="AB201" s="6" t="s">
        <v>37</v>
      </c>
      <c r="AC201" s="6" t="s">
        <v>97</v>
      </c>
      <c r="AD201" s="26" t="s">
        <v>77</v>
      </c>
      <c r="AE201" s="7">
        <v>374</v>
      </c>
      <c r="AF201" s="6">
        <v>431</v>
      </c>
      <c r="AG201" s="10">
        <v>3.9</v>
      </c>
      <c r="AH201" s="31" t="s">
        <v>54</v>
      </c>
    </row>
    <row r="202" ht="13.9" spans="1:34">
      <c r="A202" s="6">
        <v>2014</v>
      </c>
      <c r="B202" s="7">
        <v>0.85</v>
      </c>
      <c r="C202" s="6">
        <v>0.7</v>
      </c>
      <c r="D202" s="6">
        <v>4.45</v>
      </c>
      <c r="E202" s="6">
        <v>0.8</v>
      </c>
      <c r="F202" s="6">
        <v>0.5</v>
      </c>
      <c r="G202" s="6">
        <v>0.1</v>
      </c>
      <c r="H202" s="6">
        <v>0.25</v>
      </c>
      <c r="I202" s="6">
        <v>0</v>
      </c>
      <c r="J202" s="6">
        <v>0.15</v>
      </c>
      <c r="K202" s="6">
        <v>0.05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8">
        <f t="shared" si="9"/>
        <v>92.15</v>
      </c>
      <c r="U202" s="7">
        <v>500</v>
      </c>
      <c r="V202" s="6">
        <v>170</v>
      </c>
      <c r="W202" s="6">
        <v>10</v>
      </c>
      <c r="X202" s="6" t="s">
        <v>96</v>
      </c>
      <c r="Y202" s="6" t="s">
        <v>73</v>
      </c>
      <c r="Z202" s="6" t="s">
        <v>93</v>
      </c>
      <c r="AA202" s="6" t="s">
        <v>74</v>
      </c>
      <c r="AB202" s="6" t="s">
        <v>37</v>
      </c>
      <c r="AC202" s="6" t="s">
        <v>97</v>
      </c>
      <c r="AD202" s="26" t="s">
        <v>95</v>
      </c>
      <c r="AE202" s="7">
        <v>360</v>
      </c>
      <c r="AF202" s="6">
        <v>421</v>
      </c>
      <c r="AG202" s="10">
        <v>3.2</v>
      </c>
      <c r="AH202" s="31" t="s">
        <v>54</v>
      </c>
    </row>
    <row r="203" ht="13.9" spans="1:34">
      <c r="A203" s="6">
        <v>2014</v>
      </c>
      <c r="B203" s="7">
        <v>0.85</v>
      </c>
      <c r="C203" s="6">
        <v>0.7</v>
      </c>
      <c r="D203" s="6">
        <v>4.45</v>
      </c>
      <c r="E203" s="6">
        <v>0.8</v>
      </c>
      <c r="F203" s="6">
        <v>0.5</v>
      </c>
      <c r="G203" s="6">
        <v>0.1</v>
      </c>
      <c r="H203" s="6">
        <v>0.25</v>
      </c>
      <c r="I203" s="6">
        <v>0</v>
      </c>
      <c r="J203" s="6">
        <v>0.15</v>
      </c>
      <c r="K203" s="6">
        <v>0.05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8">
        <f t="shared" si="9"/>
        <v>92.15</v>
      </c>
      <c r="U203" s="7">
        <v>500</v>
      </c>
      <c r="V203" s="6">
        <v>260</v>
      </c>
      <c r="W203" s="6">
        <v>0.1</v>
      </c>
      <c r="X203" s="6" t="s">
        <v>42</v>
      </c>
      <c r="Y203" s="6" t="s">
        <v>73</v>
      </c>
      <c r="Z203" s="6" t="s">
        <v>37</v>
      </c>
      <c r="AA203" s="6" t="s">
        <v>74</v>
      </c>
      <c r="AB203" s="6" t="s">
        <v>37</v>
      </c>
      <c r="AC203" s="6" t="s">
        <v>43</v>
      </c>
      <c r="AD203" s="26" t="s">
        <v>77</v>
      </c>
      <c r="AE203" s="7">
        <v>330</v>
      </c>
      <c r="AF203" s="6">
        <v>420</v>
      </c>
      <c r="AG203" s="10">
        <v>9</v>
      </c>
      <c r="AH203" s="31" t="s">
        <v>54</v>
      </c>
    </row>
    <row r="204" ht="13.9" spans="1:34">
      <c r="A204" s="6">
        <v>2014</v>
      </c>
      <c r="B204" s="7">
        <v>0.85</v>
      </c>
      <c r="C204" s="6">
        <v>0.7</v>
      </c>
      <c r="D204" s="6">
        <v>4.45</v>
      </c>
      <c r="E204" s="6">
        <v>0.8</v>
      </c>
      <c r="F204" s="6">
        <v>0.5</v>
      </c>
      <c r="G204" s="6">
        <v>0.1</v>
      </c>
      <c r="H204" s="6">
        <v>0.25</v>
      </c>
      <c r="I204" s="6">
        <v>0</v>
      </c>
      <c r="J204" s="6">
        <v>0.15</v>
      </c>
      <c r="K204" s="6">
        <v>0.05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8">
        <f t="shared" si="9"/>
        <v>92.15</v>
      </c>
      <c r="U204" s="7">
        <v>500</v>
      </c>
      <c r="V204" s="6">
        <v>25</v>
      </c>
      <c r="W204" s="6">
        <v>0</v>
      </c>
      <c r="X204" s="6" t="s">
        <v>42</v>
      </c>
      <c r="Y204" s="6" t="s">
        <v>73</v>
      </c>
      <c r="Z204" s="6" t="s">
        <v>79</v>
      </c>
      <c r="AA204" s="6" t="s">
        <v>80</v>
      </c>
      <c r="AB204" s="6" t="s">
        <v>37</v>
      </c>
      <c r="AC204" s="6" t="s">
        <v>43</v>
      </c>
      <c r="AD204" s="26" t="s">
        <v>81</v>
      </c>
      <c r="AE204" s="7">
        <v>245</v>
      </c>
      <c r="AF204" s="6">
        <v>405</v>
      </c>
      <c r="AG204" s="10">
        <v>14.5</v>
      </c>
      <c r="AH204" s="31" t="s">
        <v>54</v>
      </c>
    </row>
    <row r="205" ht="13.9" spans="1:34">
      <c r="A205" s="6">
        <v>2014</v>
      </c>
      <c r="B205" s="7">
        <v>0.85</v>
      </c>
      <c r="C205" s="6">
        <v>0.7</v>
      </c>
      <c r="D205" s="6">
        <v>4.45</v>
      </c>
      <c r="E205" s="6">
        <v>0.8</v>
      </c>
      <c r="F205" s="6">
        <v>0.5</v>
      </c>
      <c r="G205" s="6">
        <v>0.1</v>
      </c>
      <c r="H205" s="6">
        <v>0.25</v>
      </c>
      <c r="I205" s="6">
        <v>0</v>
      </c>
      <c r="J205" s="6">
        <v>0.15</v>
      </c>
      <c r="K205" s="6">
        <v>0.05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8">
        <f t="shared" si="9"/>
        <v>92.15</v>
      </c>
      <c r="U205" s="7">
        <v>500</v>
      </c>
      <c r="V205" s="6">
        <v>25</v>
      </c>
      <c r="W205" s="6">
        <v>0</v>
      </c>
      <c r="X205" s="6" t="s">
        <v>42</v>
      </c>
      <c r="Y205" s="6" t="s">
        <v>73</v>
      </c>
      <c r="Z205" s="6" t="s">
        <v>37</v>
      </c>
      <c r="AA205" s="6" t="s">
        <v>80</v>
      </c>
      <c r="AB205" s="6" t="s">
        <v>37</v>
      </c>
      <c r="AC205" s="6" t="s">
        <v>43</v>
      </c>
      <c r="AD205" s="26" t="s">
        <v>86</v>
      </c>
      <c r="AE205" s="7">
        <v>237</v>
      </c>
      <c r="AF205" s="6">
        <v>402</v>
      </c>
      <c r="AG205" s="10">
        <v>14</v>
      </c>
      <c r="AH205" s="31" t="s">
        <v>54</v>
      </c>
    </row>
    <row r="206" ht="13.9" spans="1:34">
      <c r="A206" s="6">
        <v>2014</v>
      </c>
      <c r="B206" s="7">
        <v>0.85</v>
      </c>
      <c r="C206" s="6">
        <v>0.7</v>
      </c>
      <c r="D206" s="6">
        <v>4.45</v>
      </c>
      <c r="E206" s="6">
        <v>0.8</v>
      </c>
      <c r="F206" s="6">
        <v>0.5</v>
      </c>
      <c r="G206" s="6">
        <v>0.1</v>
      </c>
      <c r="H206" s="6">
        <v>0.25</v>
      </c>
      <c r="I206" s="6">
        <v>0</v>
      </c>
      <c r="J206" s="6">
        <v>0.15</v>
      </c>
      <c r="K206" s="6">
        <v>0.05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8">
        <f t="shared" si="9"/>
        <v>92.15</v>
      </c>
      <c r="U206" s="7">
        <v>500</v>
      </c>
      <c r="V206" s="6">
        <v>25</v>
      </c>
      <c r="W206" s="6">
        <v>0</v>
      </c>
      <c r="X206" s="6" t="s">
        <v>42</v>
      </c>
      <c r="Y206" s="6" t="s">
        <v>73</v>
      </c>
      <c r="Z206" s="6" t="s">
        <v>37</v>
      </c>
      <c r="AA206" s="6" t="s">
        <v>80</v>
      </c>
      <c r="AB206" s="6" t="s">
        <v>37</v>
      </c>
      <c r="AC206" s="6" t="s">
        <v>59</v>
      </c>
      <c r="AD206" s="26" t="s">
        <v>86</v>
      </c>
      <c r="AE206" s="7">
        <v>235</v>
      </c>
      <c r="AF206" s="6">
        <v>400</v>
      </c>
      <c r="AG206" s="10">
        <v>14</v>
      </c>
      <c r="AH206" s="31" t="s">
        <v>54</v>
      </c>
    </row>
    <row r="207" ht="13.9" spans="1:34">
      <c r="A207" s="6">
        <v>2014</v>
      </c>
      <c r="B207" s="7">
        <v>0.85</v>
      </c>
      <c r="C207" s="6">
        <v>0.7</v>
      </c>
      <c r="D207" s="6">
        <v>4.45</v>
      </c>
      <c r="E207" s="6">
        <v>0.8</v>
      </c>
      <c r="F207" s="6">
        <v>0.5</v>
      </c>
      <c r="G207" s="6">
        <v>0.1</v>
      </c>
      <c r="H207" s="6">
        <v>0.25</v>
      </c>
      <c r="I207" s="6">
        <v>0</v>
      </c>
      <c r="J207" s="6">
        <v>0.15</v>
      </c>
      <c r="K207" s="6">
        <v>0.05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8">
        <f t="shared" si="9"/>
        <v>92.15</v>
      </c>
      <c r="U207" s="7">
        <v>500</v>
      </c>
      <c r="V207" s="6">
        <v>25</v>
      </c>
      <c r="W207" s="6">
        <v>0</v>
      </c>
      <c r="X207" s="6" t="s">
        <v>42</v>
      </c>
      <c r="Y207" s="6" t="s">
        <v>73</v>
      </c>
      <c r="Z207" s="6" t="s">
        <v>84</v>
      </c>
      <c r="AA207" s="6" t="s">
        <v>80</v>
      </c>
      <c r="AB207" s="6" t="s">
        <v>37</v>
      </c>
      <c r="AC207" s="6" t="s">
        <v>59</v>
      </c>
      <c r="AD207" s="26" t="s">
        <v>85</v>
      </c>
      <c r="AE207" s="7">
        <v>250</v>
      </c>
      <c r="AF207" s="6">
        <v>398</v>
      </c>
      <c r="AG207" s="10" t="s">
        <v>40</v>
      </c>
      <c r="AH207" s="31" t="s">
        <v>54</v>
      </c>
    </row>
    <row r="208" ht="13.9" spans="1:34">
      <c r="A208" s="6">
        <v>2014</v>
      </c>
      <c r="B208" s="7">
        <v>0.85</v>
      </c>
      <c r="C208" s="6">
        <v>0.7</v>
      </c>
      <c r="D208" s="6">
        <v>4.45</v>
      </c>
      <c r="E208" s="6">
        <v>0.8</v>
      </c>
      <c r="F208" s="6">
        <v>0.5</v>
      </c>
      <c r="G208" s="6">
        <v>0.1</v>
      </c>
      <c r="H208" s="6">
        <v>0.25</v>
      </c>
      <c r="I208" s="6">
        <v>0</v>
      </c>
      <c r="J208" s="6">
        <v>0.15</v>
      </c>
      <c r="K208" s="6">
        <v>0.05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8">
        <f t="shared" si="9"/>
        <v>92.15</v>
      </c>
      <c r="U208" s="7">
        <v>500</v>
      </c>
      <c r="V208" s="6">
        <v>25</v>
      </c>
      <c r="W208" s="6">
        <v>0</v>
      </c>
      <c r="X208" s="6" t="s">
        <v>42</v>
      </c>
      <c r="Y208" s="6" t="s">
        <v>73</v>
      </c>
      <c r="Z208" s="6" t="s">
        <v>37</v>
      </c>
      <c r="AA208" s="6" t="s">
        <v>80</v>
      </c>
      <c r="AB208" s="6" t="s">
        <v>37</v>
      </c>
      <c r="AC208" s="6" t="s">
        <v>51</v>
      </c>
      <c r="AD208" s="26" t="s">
        <v>86</v>
      </c>
      <c r="AE208" s="7">
        <v>243</v>
      </c>
      <c r="AF208" s="6">
        <v>396</v>
      </c>
      <c r="AG208" s="10">
        <v>17.3</v>
      </c>
      <c r="AH208" s="31" t="s">
        <v>54</v>
      </c>
    </row>
    <row r="209" ht="13.9" spans="1:34">
      <c r="A209" s="6">
        <v>2014</v>
      </c>
      <c r="B209" s="7">
        <v>0.85</v>
      </c>
      <c r="C209" s="6">
        <v>0.7</v>
      </c>
      <c r="D209" s="6">
        <v>4.45</v>
      </c>
      <c r="E209" s="6">
        <v>0.8</v>
      </c>
      <c r="F209" s="6">
        <v>0.5</v>
      </c>
      <c r="G209" s="6">
        <v>0.1</v>
      </c>
      <c r="H209" s="6">
        <v>0.25</v>
      </c>
      <c r="I209" s="6">
        <v>0</v>
      </c>
      <c r="J209" s="6">
        <v>0.15</v>
      </c>
      <c r="K209" s="6">
        <v>0.05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8">
        <f t="shared" si="9"/>
        <v>92.15</v>
      </c>
      <c r="U209" s="7">
        <v>500</v>
      </c>
      <c r="V209" s="6">
        <v>25</v>
      </c>
      <c r="W209" s="6">
        <v>0</v>
      </c>
      <c r="X209" s="6" t="s">
        <v>42</v>
      </c>
      <c r="Y209" s="6" t="s">
        <v>73</v>
      </c>
      <c r="Z209" s="6" t="s">
        <v>37</v>
      </c>
      <c r="AA209" s="6" t="s">
        <v>80</v>
      </c>
      <c r="AB209" s="6" t="s">
        <v>37</v>
      </c>
      <c r="AC209" s="6" t="s">
        <v>69</v>
      </c>
      <c r="AD209" s="26" t="s">
        <v>86</v>
      </c>
      <c r="AE209" s="7">
        <v>243</v>
      </c>
      <c r="AF209" s="6">
        <v>396</v>
      </c>
      <c r="AG209" s="10">
        <v>17.3</v>
      </c>
      <c r="AH209" s="31" t="s">
        <v>54</v>
      </c>
    </row>
    <row r="210" ht="13.9" spans="1:34">
      <c r="A210" s="6">
        <v>2014</v>
      </c>
      <c r="B210" s="7">
        <v>0.85</v>
      </c>
      <c r="C210" s="6">
        <v>0.7</v>
      </c>
      <c r="D210" s="6">
        <v>4.45</v>
      </c>
      <c r="E210" s="6">
        <v>0.8</v>
      </c>
      <c r="F210" s="6">
        <v>0.5</v>
      </c>
      <c r="G210" s="6">
        <v>0.1</v>
      </c>
      <c r="H210" s="6">
        <v>0.25</v>
      </c>
      <c r="I210" s="6">
        <v>0</v>
      </c>
      <c r="J210" s="6">
        <v>0.15</v>
      </c>
      <c r="K210" s="6">
        <v>0.05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8">
        <f t="shared" si="9"/>
        <v>92.15</v>
      </c>
      <c r="U210" s="7">
        <v>500</v>
      </c>
      <c r="V210" s="6">
        <v>25</v>
      </c>
      <c r="W210" s="6">
        <v>0</v>
      </c>
      <c r="X210" s="6" t="s">
        <v>42</v>
      </c>
      <c r="Y210" s="6" t="s">
        <v>73</v>
      </c>
      <c r="Z210" s="6" t="s">
        <v>37</v>
      </c>
      <c r="AA210" s="6" t="s">
        <v>80</v>
      </c>
      <c r="AB210" s="6" t="s">
        <v>37</v>
      </c>
      <c r="AC210" s="6" t="s">
        <v>38</v>
      </c>
      <c r="AD210" s="26" t="s">
        <v>86</v>
      </c>
      <c r="AE210" s="7">
        <v>243</v>
      </c>
      <c r="AF210" s="6">
        <v>396</v>
      </c>
      <c r="AG210" s="10">
        <v>17.3</v>
      </c>
      <c r="AH210" s="31" t="s">
        <v>54</v>
      </c>
    </row>
    <row r="211" ht="13.9" spans="1:34">
      <c r="A211" s="6">
        <v>2014</v>
      </c>
      <c r="B211" s="7">
        <v>0.85</v>
      </c>
      <c r="C211" s="6">
        <v>0.7</v>
      </c>
      <c r="D211" s="6">
        <v>4.45</v>
      </c>
      <c r="E211" s="6">
        <v>0.8</v>
      </c>
      <c r="F211" s="6">
        <v>0.5</v>
      </c>
      <c r="G211" s="6">
        <v>0.1</v>
      </c>
      <c r="H211" s="6">
        <v>0.25</v>
      </c>
      <c r="I211" s="6">
        <v>0</v>
      </c>
      <c r="J211" s="6">
        <v>0.15</v>
      </c>
      <c r="K211" s="6">
        <v>0.05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8">
        <f t="shared" si="9"/>
        <v>92.15</v>
      </c>
      <c r="U211" s="7">
        <v>500</v>
      </c>
      <c r="V211" s="6">
        <v>25</v>
      </c>
      <c r="W211" s="6">
        <v>0</v>
      </c>
      <c r="X211" s="6" t="s">
        <v>42</v>
      </c>
      <c r="Y211" s="6" t="s">
        <v>73</v>
      </c>
      <c r="Z211" s="6" t="s">
        <v>84</v>
      </c>
      <c r="AA211" s="6" t="s">
        <v>80</v>
      </c>
      <c r="AB211" s="6" t="s">
        <v>37</v>
      </c>
      <c r="AC211" s="6" t="s">
        <v>51</v>
      </c>
      <c r="AD211" s="26" t="s">
        <v>85</v>
      </c>
      <c r="AE211" s="7">
        <v>220</v>
      </c>
      <c r="AF211" s="6">
        <v>380</v>
      </c>
      <c r="AG211" s="10">
        <v>16</v>
      </c>
      <c r="AH211" s="31" t="s">
        <v>54</v>
      </c>
    </row>
    <row r="212" ht="13.9" spans="1:34">
      <c r="A212" s="6">
        <v>2014</v>
      </c>
      <c r="B212" s="7">
        <v>0.85</v>
      </c>
      <c r="C212" s="6">
        <v>0.7</v>
      </c>
      <c r="D212" s="6">
        <v>4.45</v>
      </c>
      <c r="E212" s="6">
        <v>0.8</v>
      </c>
      <c r="F212" s="6">
        <v>0.5</v>
      </c>
      <c r="G212" s="6">
        <v>0.1</v>
      </c>
      <c r="H212" s="6">
        <v>0.25</v>
      </c>
      <c r="I212" s="6">
        <v>0</v>
      </c>
      <c r="J212" s="6">
        <v>0.15</v>
      </c>
      <c r="K212" s="6">
        <v>0.05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8">
        <f t="shared" si="9"/>
        <v>92.15</v>
      </c>
      <c r="U212" s="7">
        <v>500</v>
      </c>
      <c r="V212" s="6">
        <v>25</v>
      </c>
      <c r="W212" s="6">
        <v>0</v>
      </c>
      <c r="X212" s="6" t="s">
        <v>42</v>
      </c>
      <c r="Y212" s="6" t="s">
        <v>73</v>
      </c>
      <c r="Z212" s="6" t="s">
        <v>84</v>
      </c>
      <c r="AA212" s="6" t="s">
        <v>80</v>
      </c>
      <c r="AB212" s="6" t="s">
        <v>37</v>
      </c>
      <c r="AC212" s="6" t="s">
        <v>69</v>
      </c>
      <c r="AD212" s="26" t="s">
        <v>85</v>
      </c>
      <c r="AE212" s="7">
        <v>220</v>
      </c>
      <c r="AF212" s="6">
        <v>380</v>
      </c>
      <c r="AG212" s="10">
        <v>16</v>
      </c>
      <c r="AH212" s="31" t="s">
        <v>54</v>
      </c>
    </row>
    <row r="213" ht="13.9" spans="1:34">
      <c r="A213" s="6">
        <v>2014</v>
      </c>
      <c r="B213" s="7">
        <v>0.85</v>
      </c>
      <c r="C213" s="6">
        <v>0.7</v>
      </c>
      <c r="D213" s="6">
        <v>4.45</v>
      </c>
      <c r="E213" s="6">
        <v>0.8</v>
      </c>
      <c r="F213" s="6">
        <v>0.5</v>
      </c>
      <c r="G213" s="6">
        <v>0.1</v>
      </c>
      <c r="H213" s="6">
        <v>0.25</v>
      </c>
      <c r="I213" s="6">
        <v>0</v>
      </c>
      <c r="J213" s="6">
        <v>0.15</v>
      </c>
      <c r="K213" s="6">
        <v>0.05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8">
        <f t="shared" si="9"/>
        <v>92.15</v>
      </c>
      <c r="U213" s="7">
        <v>500</v>
      </c>
      <c r="V213" s="6">
        <v>25</v>
      </c>
      <c r="W213" s="6">
        <v>0</v>
      </c>
      <c r="X213" s="6" t="s">
        <v>42</v>
      </c>
      <c r="Y213" s="6" t="s">
        <v>73</v>
      </c>
      <c r="Z213" s="6" t="s">
        <v>84</v>
      </c>
      <c r="AA213" s="6" t="s">
        <v>80</v>
      </c>
      <c r="AB213" s="6" t="s">
        <v>37</v>
      </c>
      <c r="AC213" s="6" t="s">
        <v>38</v>
      </c>
      <c r="AD213" s="26" t="s">
        <v>85</v>
      </c>
      <c r="AE213" s="7">
        <v>220</v>
      </c>
      <c r="AF213" s="6">
        <v>380</v>
      </c>
      <c r="AG213" s="10">
        <v>16</v>
      </c>
      <c r="AH213" s="31" t="s">
        <v>54</v>
      </c>
    </row>
    <row r="214" ht="13.9" spans="1:34">
      <c r="A214" s="6">
        <v>2014</v>
      </c>
      <c r="B214" s="7">
        <v>0.85</v>
      </c>
      <c r="C214" s="6">
        <v>0.7</v>
      </c>
      <c r="D214" s="6">
        <v>4.45</v>
      </c>
      <c r="E214" s="6">
        <v>0.8</v>
      </c>
      <c r="F214" s="6">
        <v>0.5</v>
      </c>
      <c r="G214" s="6">
        <v>0.1</v>
      </c>
      <c r="H214" s="6">
        <v>0.25</v>
      </c>
      <c r="I214" s="6">
        <v>0</v>
      </c>
      <c r="J214" s="6">
        <v>0.15</v>
      </c>
      <c r="K214" s="6">
        <v>0.05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8">
        <f t="shared" si="9"/>
        <v>92.15</v>
      </c>
      <c r="U214" s="7">
        <v>500</v>
      </c>
      <c r="V214" s="6">
        <v>25</v>
      </c>
      <c r="W214" s="6">
        <v>0</v>
      </c>
      <c r="X214" s="6" t="s">
        <v>96</v>
      </c>
      <c r="Y214" s="6" t="s">
        <v>73</v>
      </c>
      <c r="Z214" s="6" t="s">
        <v>37</v>
      </c>
      <c r="AA214" s="6" t="s">
        <v>80</v>
      </c>
      <c r="AB214" s="6" t="s">
        <v>37</v>
      </c>
      <c r="AC214" s="6" t="s">
        <v>97</v>
      </c>
      <c r="AD214" s="26" t="s">
        <v>86</v>
      </c>
      <c r="AE214" s="7">
        <v>205</v>
      </c>
      <c r="AF214" s="6">
        <v>380</v>
      </c>
      <c r="AG214" s="10">
        <v>11</v>
      </c>
      <c r="AH214" s="31" t="s">
        <v>54</v>
      </c>
    </row>
    <row r="215" ht="13.9" spans="1:34">
      <c r="A215" s="6">
        <v>2014</v>
      </c>
      <c r="B215" s="7">
        <v>0.85</v>
      </c>
      <c r="C215" s="6">
        <v>0.7</v>
      </c>
      <c r="D215" s="6">
        <v>4.45</v>
      </c>
      <c r="E215" s="6">
        <v>0.8</v>
      </c>
      <c r="F215" s="6">
        <v>0.5</v>
      </c>
      <c r="G215" s="6">
        <v>0.1</v>
      </c>
      <c r="H215" s="6">
        <v>0.25</v>
      </c>
      <c r="I215" s="6">
        <v>0</v>
      </c>
      <c r="J215" s="6">
        <v>0.15</v>
      </c>
      <c r="K215" s="6">
        <v>0.05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8">
        <v>92.15</v>
      </c>
      <c r="U215" s="7">
        <v>500</v>
      </c>
      <c r="V215" s="6">
        <v>25</v>
      </c>
      <c r="W215" s="6">
        <v>0</v>
      </c>
      <c r="X215" s="6" t="s">
        <v>34</v>
      </c>
      <c r="Y215" s="6" t="s">
        <v>73</v>
      </c>
      <c r="Z215" s="6" t="s">
        <v>37</v>
      </c>
      <c r="AA215" s="6" t="s">
        <v>80</v>
      </c>
      <c r="AB215" s="6" t="s">
        <v>37</v>
      </c>
      <c r="AC215" s="6" t="s">
        <v>45</v>
      </c>
      <c r="AD215" s="26" t="s">
        <v>86</v>
      </c>
      <c r="AE215" s="7">
        <v>205</v>
      </c>
      <c r="AF215" s="6">
        <v>370</v>
      </c>
      <c r="AG215" s="10">
        <v>13.5</v>
      </c>
      <c r="AH215" s="31" t="s">
        <v>54</v>
      </c>
    </row>
    <row r="216" ht="13.9" spans="1:34">
      <c r="A216" s="6">
        <v>2014</v>
      </c>
      <c r="B216" s="7">
        <v>0.85</v>
      </c>
      <c r="C216" s="6">
        <v>0.7</v>
      </c>
      <c r="D216" s="6">
        <v>4.45</v>
      </c>
      <c r="E216" s="6">
        <v>0.8</v>
      </c>
      <c r="F216" s="6">
        <v>0.5</v>
      </c>
      <c r="G216" s="6">
        <v>0.1</v>
      </c>
      <c r="H216" s="6">
        <v>0.25</v>
      </c>
      <c r="I216" s="6">
        <v>0</v>
      </c>
      <c r="J216" s="6">
        <v>0.15</v>
      </c>
      <c r="K216" s="6">
        <v>0.05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8">
        <f t="shared" ref="T216:T263" si="10">100-SUM(B216:S216)</f>
        <v>92.15</v>
      </c>
      <c r="U216" s="7">
        <v>500</v>
      </c>
      <c r="V216" s="6">
        <v>25</v>
      </c>
      <c r="W216" s="6">
        <v>0</v>
      </c>
      <c r="X216" s="6" t="s">
        <v>44</v>
      </c>
      <c r="Y216" s="6" t="s">
        <v>73</v>
      </c>
      <c r="Z216" s="6" t="s">
        <v>84</v>
      </c>
      <c r="AA216" s="6" t="s">
        <v>80</v>
      </c>
      <c r="AB216" s="6" t="s">
        <v>37</v>
      </c>
      <c r="AC216" s="6" t="s">
        <v>51</v>
      </c>
      <c r="AD216" s="26" t="s">
        <v>85</v>
      </c>
      <c r="AE216" s="7">
        <v>240</v>
      </c>
      <c r="AF216" s="6">
        <v>345</v>
      </c>
      <c r="AG216" s="10">
        <v>12</v>
      </c>
      <c r="AH216" s="31" t="s">
        <v>54</v>
      </c>
    </row>
    <row r="217" ht="13.9" spans="1:34">
      <c r="A217" s="6">
        <v>2014</v>
      </c>
      <c r="B217" s="7">
        <v>0.85</v>
      </c>
      <c r="C217" s="6">
        <v>0.7</v>
      </c>
      <c r="D217" s="6">
        <v>4.45</v>
      </c>
      <c r="E217" s="6">
        <v>0.8</v>
      </c>
      <c r="F217" s="6">
        <v>0.5</v>
      </c>
      <c r="G217" s="6">
        <v>0.1</v>
      </c>
      <c r="H217" s="6">
        <v>0.25</v>
      </c>
      <c r="I217" s="6">
        <v>0</v>
      </c>
      <c r="J217" s="6">
        <v>0.15</v>
      </c>
      <c r="K217" s="6">
        <v>0.05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8">
        <f t="shared" si="10"/>
        <v>92.15</v>
      </c>
      <c r="U217" s="7">
        <v>500</v>
      </c>
      <c r="V217" s="6">
        <v>25</v>
      </c>
      <c r="W217" s="6">
        <v>0</v>
      </c>
      <c r="X217" s="6" t="s">
        <v>44</v>
      </c>
      <c r="Y217" s="6" t="s">
        <v>73</v>
      </c>
      <c r="Z217" s="6" t="s">
        <v>84</v>
      </c>
      <c r="AA217" s="6" t="s">
        <v>80</v>
      </c>
      <c r="AB217" s="6" t="s">
        <v>37</v>
      </c>
      <c r="AC217" s="6" t="s">
        <v>69</v>
      </c>
      <c r="AD217" s="26" t="s">
        <v>85</v>
      </c>
      <c r="AE217" s="7">
        <v>240</v>
      </c>
      <c r="AF217" s="6">
        <v>345</v>
      </c>
      <c r="AG217" s="10">
        <v>12</v>
      </c>
      <c r="AH217" s="31" t="s">
        <v>54</v>
      </c>
    </row>
    <row r="218" ht="13.9" spans="1:34">
      <c r="A218" s="6">
        <v>2014</v>
      </c>
      <c r="B218" s="7">
        <v>0.85</v>
      </c>
      <c r="C218" s="6">
        <v>0.7</v>
      </c>
      <c r="D218" s="6">
        <v>4.45</v>
      </c>
      <c r="E218" s="6">
        <v>0.8</v>
      </c>
      <c r="F218" s="6">
        <v>0.5</v>
      </c>
      <c r="G218" s="6">
        <v>0.1</v>
      </c>
      <c r="H218" s="6">
        <v>0.25</v>
      </c>
      <c r="I218" s="6">
        <v>0</v>
      </c>
      <c r="J218" s="6">
        <v>0.15</v>
      </c>
      <c r="K218" s="6">
        <v>0.05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8">
        <f t="shared" si="10"/>
        <v>92.15</v>
      </c>
      <c r="U218" s="7">
        <v>500</v>
      </c>
      <c r="V218" s="6">
        <v>25</v>
      </c>
      <c r="W218" s="6">
        <v>0</v>
      </c>
      <c r="X218" s="6" t="s">
        <v>44</v>
      </c>
      <c r="Y218" s="6" t="s">
        <v>73</v>
      </c>
      <c r="Z218" s="6" t="s">
        <v>84</v>
      </c>
      <c r="AA218" s="6" t="s">
        <v>80</v>
      </c>
      <c r="AB218" s="6" t="s">
        <v>37</v>
      </c>
      <c r="AC218" s="6" t="s">
        <v>45</v>
      </c>
      <c r="AD218" s="26" t="s">
        <v>85</v>
      </c>
      <c r="AE218" s="7">
        <v>240</v>
      </c>
      <c r="AF218" s="6">
        <v>345</v>
      </c>
      <c r="AG218" s="10">
        <v>12</v>
      </c>
      <c r="AH218" s="31" t="s">
        <v>54</v>
      </c>
    </row>
    <row r="219" ht="13.9" spans="1:34">
      <c r="A219" s="6">
        <v>2014</v>
      </c>
      <c r="B219" s="7">
        <v>0.85</v>
      </c>
      <c r="C219" s="6">
        <v>0.7</v>
      </c>
      <c r="D219" s="6">
        <v>4.45</v>
      </c>
      <c r="E219" s="6">
        <v>0.8</v>
      </c>
      <c r="F219" s="6">
        <v>0.5</v>
      </c>
      <c r="G219" s="6">
        <v>0.1</v>
      </c>
      <c r="H219" s="6">
        <v>0.25</v>
      </c>
      <c r="I219" s="6">
        <v>0</v>
      </c>
      <c r="J219" s="6">
        <v>0.15</v>
      </c>
      <c r="K219" s="6">
        <v>0.05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8">
        <f t="shared" si="10"/>
        <v>92.15</v>
      </c>
      <c r="U219" s="7">
        <v>500</v>
      </c>
      <c r="V219" s="6">
        <v>25</v>
      </c>
      <c r="W219" s="6">
        <v>0</v>
      </c>
      <c r="X219" s="6" t="s">
        <v>44</v>
      </c>
      <c r="Y219" s="6" t="s">
        <v>73</v>
      </c>
      <c r="Z219" s="6" t="s">
        <v>84</v>
      </c>
      <c r="AA219" s="6" t="s">
        <v>80</v>
      </c>
      <c r="AB219" s="6" t="s">
        <v>37</v>
      </c>
      <c r="AC219" s="6" t="s">
        <v>38</v>
      </c>
      <c r="AD219" s="26" t="s">
        <v>85</v>
      </c>
      <c r="AE219" s="7">
        <v>240</v>
      </c>
      <c r="AF219" s="6">
        <v>345</v>
      </c>
      <c r="AG219" s="10">
        <v>12</v>
      </c>
      <c r="AH219" s="31" t="s">
        <v>54</v>
      </c>
    </row>
    <row r="220" ht="13.9" spans="1:34">
      <c r="A220" s="6">
        <v>2014</v>
      </c>
      <c r="B220" s="7">
        <v>0.85</v>
      </c>
      <c r="C220" s="6">
        <v>0.7</v>
      </c>
      <c r="D220" s="6">
        <v>4.45</v>
      </c>
      <c r="E220" s="6">
        <v>0.8</v>
      </c>
      <c r="F220" s="6">
        <v>0.5</v>
      </c>
      <c r="G220" s="6">
        <v>0.1</v>
      </c>
      <c r="H220" s="6">
        <v>0.25</v>
      </c>
      <c r="I220" s="6">
        <v>0</v>
      </c>
      <c r="J220" s="6">
        <v>0.15</v>
      </c>
      <c r="K220" s="6">
        <v>0.05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8">
        <f t="shared" si="10"/>
        <v>92.15</v>
      </c>
      <c r="U220" s="7">
        <v>500</v>
      </c>
      <c r="V220" s="6">
        <v>25</v>
      </c>
      <c r="W220" s="6">
        <v>0</v>
      </c>
      <c r="X220" s="6" t="s">
        <v>44</v>
      </c>
      <c r="Y220" s="6" t="s">
        <v>73</v>
      </c>
      <c r="Z220" s="6" t="s">
        <v>37</v>
      </c>
      <c r="AA220" s="6" t="s">
        <v>80</v>
      </c>
      <c r="AB220" s="6" t="s">
        <v>37</v>
      </c>
      <c r="AC220" s="6" t="s">
        <v>51</v>
      </c>
      <c r="AD220" s="26" t="s">
        <v>86</v>
      </c>
      <c r="AE220" s="7">
        <v>220</v>
      </c>
      <c r="AF220" s="6">
        <v>345</v>
      </c>
      <c r="AG220" s="10">
        <v>12</v>
      </c>
      <c r="AH220" s="31" t="s">
        <v>54</v>
      </c>
    </row>
    <row r="221" ht="13.9" spans="1:34">
      <c r="A221" s="6">
        <v>2014</v>
      </c>
      <c r="B221" s="7">
        <v>0.85</v>
      </c>
      <c r="C221" s="6">
        <v>0.7</v>
      </c>
      <c r="D221" s="6">
        <v>4.45</v>
      </c>
      <c r="E221" s="6">
        <v>0.8</v>
      </c>
      <c r="F221" s="6">
        <v>0.5</v>
      </c>
      <c r="G221" s="6">
        <v>0.1</v>
      </c>
      <c r="H221" s="6">
        <v>0.25</v>
      </c>
      <c r="I221" s="6">
        <v>0</v>
      </c>
      <c r="J221" s="6">
        <v>0.15</v>
      </c>
      <c r="K221" s="6">
        <v>0.05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8">
        <f t="shared" si="10"/>
        <v>92.15</v>
      </c>
      <c r="U221" s="7">
        <v>500</v>
      </c>
      <c r="V221" s="6">
        <v>25</v>
      </c>
      <c r="W221" s="6">
        <v>0</v>
      </c>
      <c r="X221" s="6" t="s">
        <v>44</v>
      </c>
      <c r="Y221" s="6" t="s">
        <v>73</v>
      </c>
      <c r="Z221" s="6" t="s">
        <v>37</v>
      </c>
      <c r="AA221" s="6" t="s">
        <v>80</v>
      </c>
      <c r="AB221" s="6" t="s">
        <v>37</v>
      </c>
      <c r="AC221" s="6" t="s">
        <v>69</v>
      </c>
      <c r="AD221" s="26" t="s">
        <v>86</v>
      </c>
      <c r="AE221" s="7">
        <v>220</v>
      </c>
      <c r="AF221" s="6">
        <v>345</v>
      </c>
      <c r="AG221" s="10">
        <v>12</v>
      </c>
      <c r="AH221" s="31" t="s">
        <v>54</v>
      </c>
    </row>
    <row r="222" ht="13.9" spans="1:34">
      <c r="A222" s="6">
        <v>2014</v>
      </c>
      <c r="B222" s="7">
        <v>0.85</v>
      </c>
      <c r="C222" s="6">
        <v>0.7</v>
      </c>
      <c r="D222" s="6">
        <v>4.45</v>
      </c>
      <c r="E222" s="6">
        <v>0.8</v>
      </c>
      <c r="F222" s="6">
        <v>0.5</v>
      </c>
      <c r="G222" s="6">
        <v>0.1</v>
      </c>
      <c r="H222" s="6">
        <v>0.25</v>
      </c>
      <c r="I222" s="6">
        <v>0</v>
      </c>
      <c r="J222" s="6">
        <v>0.15</v>
      </c>
      <c r="K222" s="6">
        <v>0.05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8">
        <f t="shared" si="10"/>
        <v>92.15</v>
      </c>
      <c r="U222" s="7">
        <v>500</v>
      </c>
      <c r="V222" s="6">
        <v>25</v>
      </c>
      <c r="W222" s="6">
        <v>0</v>
      </c>
      <c r="X222" s="6" t="s">
        <v>44</v>
      </c>
      <c r="Y222" s="6" t="s">
        <v>73</v>
      </c>
      <c r="Z222" s="6" t="s">
        <v>37</v>
      </c>
      <c r="AA222" s="6" t="s">
        <v>80</v>
      </c>
      <c r="AB222" s="6" t="s">
        <v>37</v>
      </c>
      <c r="AC222" s="6" t="s">
        <v>45</v>
      </c>
      <c r="AD222" s="26" t="s">
        <v>86</v>
      </c>
      <c r="AE222" s="7">
        <v>220</v>
      </c>
      <c r="AF222" s="6">
        <v>345</v>
      </c>
      <c r="AG222" s="10">
        <v>12</v>
      </c>
      <c r="AH222" s="31" t="s">
        <v>54</v>
      </c>
    </row>
    <row r="223" ht="13.9" spans="1:34">
      <c r="A223" s="6">
        <v>2014</v>
      </c>
      <c r="B223" s="7">
        <v>0.85</v>
      </c>
      <c r="C223" s="6">
        <v>0.7</v>
      </c>
      <c r="D223" s="6">
        <v>4.45</v>
      </c>
      <c r="E223" s="6">
        <v>0.8</v>
      </c>
      <c r="F223" s="6">
        <v>0.5</v>
      </c>
      <c r="G223" s="6">
        <v>0.1</v>
      </c>
      <c r="H223" s="6">
        <v>0.25</v>
      </c>
      <c r="I223" s="6">
        <v>0</v>
      </c>
      <c r="J223" s="6">
        <v>0.15</v>
      </c>
      <c r="K223" s="6">
        <v>0.05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8">
        <f t="shared" si="10"/>
        <v>92.15</v>
      </c>
      <c r="U223" s="7">
        <v>500</v>
      </c>
      <c r="V223" s="6">
        <v>25</v>
      </c>
      <c r="W223" s="6">
        <v>0</v>
      </c>
      <c r="X223" s="6" t="s">
        <v>44</v>
      </c>
      <c r="Y223" s="6" t="s">
        <v>73</v>
      </c>
      <c r="Z223" s="6" t="s">
        <v>37</v>
      </c>
      <c r="AA223" s="6" t="s">
        <v>80</v>
      </c>
      <c r="AB223" s="6" t="s">
        <v>37</v>
      </c>
      <c r="AC223" s="6" t="s">
        <v>38</v>
      </c>
      <c r="AD223" s="26" t="s">
        <v>86</v>
      </c>
      <c r="AE223" s="7">
        <v>220</v>
      </c>
      <c r="AF223" s="6">
        <v>345</v>
      </c>
      <c r="AG223" s="10">
        <v>12</v>
      </c>
      <c r="AH223" s="31" t="s">
        <v>54</v>
      </c>
    </row>
    <row r="224" ht="13.9" spans="1:34">
      <c r="A224" s="6">
        <v>2014</v>
      </c>
      <c r="B224" s="7">
        <v>0.85</v>
      </c>
      <c r="C224" s="6">
        <v>0.7</v>
      </c>
      <c r="D224" s="6">
        <v>4.45</v>
      </c>
      <c r="E224" s="6">
        <v>0.8</v>
      </c>
      <c r="F224" s="6">
        <v>0.5</v>
      </c>
      <c r="G224" s="6">
        <v>0.1</v>
      </c>
      <c r="H224" s="6">
        <v>0.25</v>
      </c>
      <c r="I224" s="6">
        <v>0</v>
      </c>
      <c r="J224" s="6">
        <v>0.15</v>
      </c>
      <c r="K224" s="6">
        <v>0.05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8">
        <f t="shared" si="10"/>
        <v>92.15</v>
      </c>
      <c r="U224" s="7">
        <v>413</v>
      </c>
      <c r="V224" s="6">
        <v>25</v>
      </c>
      <c r="W224" s="6">
        <v>0</v>
      </c>
      <c r="X224" s="6" t="s">
        <v>34</v>
      </c>
      <c r="Y224" s="6" t="s">
        <v>50</v>
      </c>
      <c r="Z224" s="6" t="s">
        <v>37</v>
      </c>
      <c r="AA224" s="6" t="s">
        <v>37</v>
      </c>
      <c r="AB224" s="6" t="s">
        <v>37</v>
      </c>
      <c r="AC224" s="6" t="s">
        <v>45</v>
      </c>
      <c r="AD224" s="26" t="s">
        <v>57</v>
      </c>
      <c r="AE224" s="7">
        <v>110</v>
      </c>
      <c r="AF224" s="6">
        <v>220</v>
      </c>
      <c r="AG224" s="10" t="s">
        <v>40</v>
      </c>
      <c r="AH224" s="31" t="s">
        <v>54</v>
      </c>
    </row>
    <row r="225" ht="13.9" spans="1:34">
      <c r="A225" s="6">
        <v>2014</v>
      </c>
      <c r="B225" s="7">
        <v>0.85</v>
      </c>
      <c r="C225" s="6">
        <v>0.7</v>
      </c>
      <c r="D225" s="6">
        <v>4.45</v>
      </c>
      <c r="E225" s="6">
        <v>0.8</v>
      </c>
      <c r="F225" s="6">
        <v>0.5</v>
      </c>
      <c r="G225" s="6">
        <v>0.1</v>
      </c>
      <c r="H225" s="6">
        <v>0.25</v>
      </c>
      <c r="I225" s="6">
        <v>0</v>
      </c>
      <c r="J225" s="6">
        <v>0.15</v>
      </c>
      <c r="K225" s="6">
        <v>0.05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8">
        <f t="shared" si="10"/>
        <v>92.15</v>
      </c>
      <c r="U225" s="7">
        <v>413</v>
      </c>
      <c r="V225" s="6">
        <v>25</v>
      </c>
      <c r="W225" s="6">
        <v>0</v>
      </c>
      <c r="X225" s="6" t="s">
        <v>42</v>
      </c>
      <c r="Y225" s="6" t="s">
        <v>50</v>
      </c>
      <c r="Z225" s="6" t="s">
        <v>37</v>
      </c>
      <c r="AA225" s="6" t="s">
        <v>37</v>
      </c>
      <c r="AB225" s="6" t="s">
        <v>37</v>
      </c>
      <c r="AC225" s="6" t="s">
        <v>59</v>
      </c>
      <c r="AD225" s="26" t="s">
        <v>57</v>
      </c>
      <c r="AE225" s="7">
        <v>110</v>
      </c>
      <c r="AF225" s="6">
        <v>220</v>
      </c>
      <c r="AG225" s="10" t="s">
        <v>40</v>
      </c>
      <c r="AH225" s="31" t="s">
        <v>54</v>
      </c>
    </row>
    <row r="226" ht="13.9" spans="1:34">
      <c r="A226" s="6">
        <v>2014</v>
      </c>
      <c r="B226" s="7">
        <v>0.85</v>
      </c>
      <c r="C226" s="6">
        <v>0.7</v>
      </c>
      <c r="D226" s="6">
        <v>4.45</v>
      </c>
      <c r="E226" s="6">
        <v>0.8</v>
      </c>
      <c r="F226" s="6">
        <v>0.5</v>
      </c>
      <c r="G226" s="6">
        <v>0.1</v>
      </c>
      <c r="H226" s="6">
        <v>0.25</v>
      </c>
      <c r="I226" s="6">
        <v>0</v>
      </c>
      <c r="J226" s="6">
        <v>0.15</v>
      </c>
      <c r="K226" s="6">
        <v>0.05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8">
        <f t="shared" si="10"/>
        <v>92.15</v>
      </c>
      <c r="U226" s="7">
        <v>500</v>
      </c>
      <c r="V226" s="6">
        <v>25</v>
      </c>
      <c r="W226" s="6">
        <v>0</v>
      </c>
      <c r="X226" s="6" t="s">
        <v>44</v>
      </c>
      <c r="Y226" s="6" t="s">
        <v>50</v>
      </c>
      <c r="Z226" s="6" t="s">
        <v>37</v>
      </c>
      <c r="AA226" s="6" t="s">
        <v>37</v>
      </c>
      <c r="AB226" s="6" t="s">
        <v>37</v>
      </c>
      <c r="AC226" s="6" t="s">
        <v>51</v>
      </c>
      <c r="AD226" s="26" t="s">
        <v>57</v>
      </c>
      <c r="AE226" s="7">
        <v>125</v>
      </c>
      <c r="AF226" s="6">
        <v>205</v>
      </c>
      <c r="AG226" s="10">
        <v>12</v>
      </c>
      <c r="AH226" s="31" t="s">
        <v>54</v>
      </c>
    </row>
    <row r="227" ht="13.9" spans="1:34">
      <c r="A227" s="6">
        <v>2014</v>
      </c>
      <c r="B227" s="7">
        <v>0.85</v>
      </c>
      <c r="C227" s="6">
        <v>0.7</v>
      </c>
      <c r="D227" s="6">
        <v>4.45</v>
      </c>
      <c r="E227" s="6">
        <v>0.8</v>
      </c>
      <c r="F227" s="6">
        <v>0.5</v>
      </c>
      <c r="G227" s="6">
        <v>0.1</v>
      </c>
      <c r="H227" s="6">
        <v>0.25</v>
      </c>
      <c r="I227" s="6">
        <v>0</v>
      </c>
      <c r="J227" s="6">
        <v>0.15</v>
      </c>
      <c r="K227" s="6">
        <v>0.05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8">
        <f t="shared" si="10"/>
        <v>92.15</v>
      </c>
      <c r="U227" s="7">
        <v>500</v>
      </c>
      <c r="V227" s="6">
        <v>25</v>
      </c>
      <c r="W227" s="6">
        <v>0</v>
      </c>
      <c r="X227" s="6" t="s">
        <v>44</v>
      </c>
      <c r="Y227" s="6" t="s">
        <v>50</v>
      </c>
      <c r="Z227" s="6" t="s">
        <v>37</v>
      </c>
      <c r="AA227" s="6" t="s">
        <v>37</v>
      </c>
      <c r="AB227" s="6" t="s">
        <v>37</v>
      </c>
      <c r="AC227" s="6" t="s">
        <v>69</v>
      </c>
      <c r="AD227" s="26" t="s">
        <v>57</v>
      </c>
      <c r="AE227" s="7">
        <v>125</v>
      </c>
      <c r="AF227" s="6">
        <v>205</v>
      </c>
      <c r="AG227" s="10">
        <v>12</v>
      </c>
      <c r="AH227" s="31" t="s">
        <v>54</v>
      </c>
    </row>
    <row r="228" ht="13.9" spans="1:34">
      <c r="A228" s="6">
        <v>2014</v>
      </c>
      <c r="B228" s="7">
        <v>0.85</v>
      </c>
      <c r="C228" s="6">
        <v>0.7</v>
      </c>
      <c r="D228" s="6">
        <v>4.45</v>
      </c>
      <c r="E228" s="6">
        <v>0.8</v>
      </c>
      <c r="F228" s="6">
        <v>0.5</v>
      </c>
      <c r="G228" s="6">
        <v>0.1</v>
      </c>
      <c r="H228" s="6">
        <v>0.25</v>
      </c>
      <c r="I228" s="6">
        <v>0</v>
      </c>
      <c r="J228" s="6">
        <v>0.15</v>
      </c>
      <c r="K228" s="6">
        <v>0.05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8">
        <f t="shared" si="10"/>
        <v>92.15</v>
      </c>
      <c r="U228" s="7">
        <v>500</v>
      </c>
      <c r="V228" s="6">
        <v>25</v>
      </c>
      <c r="W228" s="6">
        <v>0</v>
      </c>
      <c r="X228" s="6" t="s">
        <v>44</v>
      </c>
      <c r="Y228" s="6" t="s">
        <v>50</v>
      </c>
      <c r="Z228" s="6" t="s">
        <v>37</v>
      </c>
      <c r="AA228" s="6" t="s">
        <v>37</v>
      </c>
      <c r="AB228" s="6" t="s">
        <v>37</v>
      </c>
      <c r="AC228" s="6" t="s">
        <v>45</v>
      </c>
      <c r="AD228" s="26" t="s">
        <v>57</v>
      </c>
      <c r="AE228" s="7">
        <v>125</v>
      </c>
      <c r="AF228" s="6">
        <v>205</v>
      </c>
      <c r="AG228" s="10">
        <v>12</v>
      </c>
      <c r="AH228" s="31" t="s">
        <v>54</v>
      </c>
    </row>
    <row r="229" ht="13.9" spans="1:34">
      <c r="A229" s="6">
        <v>2014</v>
      </c>
      <c r="B229" s="7">
        <v>0.85</v>
      </c>
      <c r="C229" s="6">
        <v>0.7</v>
      </c>
      <c r="D229" s="6">
        <v>4.45</v>
      </c>
      <c r="E229" s="6">
        <v>0.8</v>
      </c>
      <c r="F229" s="6">
        <v>0.5</v>
      </c>
      <c r="G229" s="6">
        <v>0.1</v>
      </c>
      <c r="H229" s="6">
        <v>0.25</v>
      </c>
      <c r="I229" s="6">
        <v>0</v>
      </c>
      <c r="J229" s="6">
        <v>0.15</v>
      </c>
      <c r="K229" s="6">
        <v>0.05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8">
        <f t="shared" si="10"/>
        <v>92.15</v>
      </c>
      <c r="U229" s="7">
        <v>500</v>
      </c>
      <c r="V229" s="6">
        <v>25</v>
      </c>
      <c r="W229" s="6">
        <v>0</v>
      </c>
      <c r="X229" s="6" t="s">
        <v>44</v>
      </c>
      <c r="Y229" s="6" t="s">
        <v>50</v>
      </c>
      <c r="Z229" s="6" t="s">
        <v>37</v>
      </c>
      <c r="AA229" s="6" t="s">
        <v>37</v>
      </c>
      <c r="AB229" s="6" t="s">
        <v>37</v>
      </c>
      <c r="AC229" s="6" t="s">
        <v>38</v>
      </c>
      <c r="AD229" s="26" t="s">
        <v>57</v>
      </c>
      <c r="AE229" s="7">
        <v>125</v>
      </c>
      <c r="AF229" s="6">
        <v>205</v>
      </c>
      <c r="AG229" s="10">
        <v>12</v>
      </c>
      <c r="AH229" s="31" t="s">
        <v>54</v>
      </c>
    </row>
    <row r="230" ht="13.9" spans="1:34">
      <c r="A230" s="6">
        <v>2014</v>
      </c>
      <c r="B230" s="7">
        <v>0.85</v>
      </c>
      <c r="C230" s="6">
        <v>0.7</v>
      </c>
      <c r="D230" s="6">
        <v>4.45</v>
      </c>
      <c r="E230" s="6">
        <v>0.8</v>
      </c>
      <c r="F230" s="6">
        <v>0.5</v>
      </c>
      <c r="G230" s="6">
        <v>0.1</v>
      </c>
      <c r="H230" s="6">
        <v>0.25</v>
      </c>
      <c r="I230" s="6">
        <v>0</v>
      </c>
      <c r="J230" s="6">
        <v>0.15</v>
      </c>
      <c r="K230" s="6">
        <v>0.05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8">
        <f t="shared" si="10"/>
        <v>92.15</v>
      </c>
      <c r="U230" s="7">
        <v>413</v>
      </c>
      <c r="V230" s="6">
        <v>25</v>
      </c>
      <c r="W230" s="6">
        <v>0</v>
      </c>
      <c r="X230" s="6" t="s">
        <v>42</v>
      </c>
      <c r="Y230" s="6" t="s">
        <v>50</v>
      </c>
      <c r="Z230" s="6" t="s">
        <v>37</v>
      </c>
      <c r="AA230" s="6" t="s">
        <v>37</v>
      </c>
      <c r="AB230" s="6" t="s">
        <v>37</v>
      </c>
      <c r="AC230" s="6" t="s">
        <v>43</v>
      </c>
      <c r="AD230" s="26" t="s">
        <v>57</v>
      </c>
      <c r="AE230" s="7">
        <v>92</v>
      </c>
      <c r="AF230" s="6">
        <v>192</v>
      </c>
      <c r="AG230" s="10">
        <v>17</v>
      </c>
      <c r="AH230" s="31" t="s">
        <v>54</v>
      </c>
    </row>
    <row r="231" ht="13.9" spans="1:34">
      <c r="A231" s="6">
        <v>2014</v>
      </c>
      <c r="B231" s="7">
        <v>0.85</v>
      </c>
      <c r="C231" s="6">
        <v>0.7</v>
      </c>
      <c r="D231" s="6">
        <v>4.45</v>
      </c>
      <c r="E231" s="6">
        <v>0.8</v>
      </c>
      <c r="F231" s="6">
        <v>0.5</v>
      </c>
      <c r="G231" s="6">
        <v>0.1</v>
      </c>
      <c r="H231" s="6">
        <v>0.25</v>
      </c>
      <c r="I231" s="6">
        <v>0</v>
      </c>
      <c r="J231" s="6">
        <v>0.15</v>
      </c>
      <c r="K231" s="6">
        <v>0.05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8">
        <f t="shared" si="10"/>
        <v>92.15</v>
      </c>
      <c r="U231" s="7">
        <v>413</v>
      </c>
      <c r="V231" s="6">
        <v>25</v>
      </c>
      <c r="W231" s="6">
        <v>0</v>
      </c>
      <c r="X231" s="6" t="s">
        <v>42</v>
      </c>
      <c r="Y231" s="6" t="s">
        <v>50</v>
      </c>
      <c r="Z231" s="6" t="s">
        <v>37</v>
      </c>
      <c r="AA231" s="6" t="s">
        <v>37</v>
      </c>
      <c r="AB231" s="6" t="s">
        <v>37</v>
      </c>
      <c r="AC231" s="6" t="s">
        <v>51</v>
      </c>
      <c r="AD231" s="26" t="s">
        <v>57</v>
      </c>
      <c r="AE231" s="7">
        <v>69</v>
      </c>
      <c r="AF231" s="6">
        <v>172</v>
      </c>
      <c r="AG231" s="10">
        <v>18</v>
      </c>
      <c r="AH231" s="31" t="s">
        <v>54</v>
      </c>
    </row>
    <row r="232" ht="13.9" spans="1:34">
      <c r="A232" s="6">
        <v>2014</v>
      </c>
      <c r="B232" s="7">
        <v>0.85</v>
      </c>
      <c r="C232" s="6">
        <v>0.7</v>
      </c>
      <c r="D232" s="6">
        <v>4.45</v>
      </c>
      <c r="E232" s="6">
        <v>0.8</v>
      </c>
      <c r="F232" s="6">
        <v>0.5</v>
      </c>
      <c r="G232" s="6">
        <v>0.1</v>
      </c>
      <c r="H232" s="6">
        <v>0.25</v>
      </c>
      <c r="I232" s="6">
        <v>0</v>
      </c>
      <c r="J232" s="6">
        <v>0.15</v>
      </c>
      <c r="K232" s="6">
        <v>0.05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8">
        <f t="shared" si="10"/>
        <v>92.15</v>
      </c>
      <c r="U232" s="7">
        <v>413</v>
      </c>
      <c r="V232" s="6">
        <v>25</v>
      </c>
      <c r="W232" s="6">
        <v>0</v>
      </c>
      <c r="X232" s="6" t="s">
        <v>42</v>
      </c>
      <c r="Y232" s="6" t="s">
        <v>50</v>
      </c>
      <c r="Z232" s="6" t="s">
        <v>37</v>
      </c>
      <c r="AA232" s="6" t="s">
        <v>37</v>
      </c>
      <c r="AB232" s="6" t="s">
        <v>37</v>
      </c>
      <c r="AC232" s="6" t="s">
        <v>69</v>
      </c>
      <c r="AD232" s="26" t="s">
        <v>57</v>
      </c>
      <c r="AE232" s="7">
        <v>69</v>
      </c>
      <c r="AF232" s="6">
        <v>172</v>
      </c>
      <c r="AG232" s="10">
        <v>18</v>
      </c>
      <c r="AH232" s="31" t="s">
        <v>54</v>
      </c>
    </row>
    <row r="233" ht="13.9" spans="1:34">
      <c r="A233" s="6">
        <v>2014</v>
      </c>
      <c r="B233" s="7">
        <v>0.85</v>
      </c>
      <c r="C233" s="6">
        <v>0.7</v>
      </c>
      <c r="D233" s="6">
        <v>4.45</v>
      </c>
      <c r="E233" s="6">
        <v>0.8</v>
      </c>
      <c r="F233" s="6">
        <v>0.5</v>
      </c>
      <c r="G233" s="6">
        <v>0.1</v>
      </c>
      <c r="H233" s="6">
        <v>0.25</v>
      </c>
      <c r="I233" s="6">
        <v>0</v>
      </c>
      <c r="J233" s="6">
        <v>0.15</v>
      </c>
      <c r="K233" s="6">
        <v>0.05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8">
        <f t="shared" si="10"/>
        <v>92.15</v>
      </c>
      <c r="U233" s="7">
        <v>413</v>
      </c>
      <c r="V233" s="6">
        <v>25</v>
      </c>
      <c r="W233" s="6">
        <v>0</v>
      </c>
      <c r="X233" s="6" t="s">
        <v>42</v>
      </c>
      <c r="Y233" s="6" t="s">
        <v>50</v>
      </c>
      <c r="Z233" s="6" t="s">
        <v>37</v>
      </c>
      <c r="AA233" s="6" t="s">
        <v>37</v>
      </c>
      <c r="AB233" s="6" t="s">
        <v>37</v>
      </c>
      <c r="AC233" s="6" t="s">
        <v>38</v>
      </c>
      <c r="AD233" s="26" t="s">
        <v>57</v>
      </c>
      <c r="AE233" s="7">
        <v>69</v>
      </c>
      <c r="AF233" s="6">
        <v>172</v>
      </c>
      <c r="AG233" s="10">
        <v>18</v>
      </c>
      <c r="AH233" s="31" t="s">
        <v>54</v>
      </c>
    </row>
    <row r="234" ht="13.9" spans="1:34">
      <c r="A234" s="6">
        <v>2014</v>
      </c>
      <c r="B234" s="7">
        <v>0.85</v>
      </c>
      <c r="C234" s="6">
        <v>0.7</v>
      </c>
      <c r="D234" s="6">
        <v>4.45</v>
      </c>
      <c r="E234" s="6">
        <v>0.8</v>
      </c>
      <c r="F234" s="6">
        <v>0.5</v>
      </c>
      <c r="G234" s="6">
        <v>0.1</v>
      </c>
      <c r="H234" s="6">
        <v>0.25</v>
      </c>
      <c r="I234" s="6">
        <v>0</v>
      </c>
      <c r="J234" s="6">
        <v>0.15</v>
      </c>
      <c r="K234" s="6">
        <v>0.05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8">
        <f t="shared" si="10"/>
        <v>92.15</v>
      </c>
      <c r="U234" s="7">
        <v>500</v>
      </c>
      <c r="V234" s="6">
        <v>25</v>
      </c>
      <c r="W234" s="6">
        <v>0</v>
      </c>
      <c r="X234" s="6" t="s">
        <v>53</v>
      </c>
      <c r="Y234" s="6" t="s">
        <v>73</v>
      </c>
      <c r="Z234" s="6" t="s">
        <v>37</v>
      </c>
      <c r="AA234" s="6" t="s">
        <v>80</v>
      </c>
      <c r="AB234" s="6" t="s">
        <v>37</v>
      </c>
      <c r="AC234" s="6" t="s">
        <v>53</v>
      </c>
      <c r="AD234" s="26" t="s">
        <v>86</v>
      </c>
      <c r="AE234" s="7">
        <v>290</v>
      </c>
      <c r="AF234" s="6">
        <v>425</v>
      </c>
      <c r="AG234" s="10">
        <v>20</v>
      </c>
      <c r="AH234" s="31" t="s">
        <v>98</v>
      </c>
    </row>
    <row r="235" ht="13.9" spans="1:34">
      <c r="A235" s="6">
        <v>2014</v>
      </c>
      <c r="B235" s="7">
        <v>0.83</v>
      </c>
      <c r="C235" s="6">
        <v>0.29</v>
      </c>
      <c r="D235" s="6">
        <v>3.91</v>
      </c>
      <c r="E235" s="6">
        <v>0.55</v>
      </c>
      <c r="F235" s="6">
        <v>0.47</v>
      </c>
      <c r="G235" s="6">
        <v>0.01</v>
      </c>
      <c r="H235" s="6">
        <v>0.06</v>
      </c>
      <c r="I235" s="6">
        <v>0</v>
      </c>
      <c r="J235" s="6">
        <v>0.07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8">
        <f t="shared" si="10"/>
        <v>93.81</v>
      </c>
      <c r="U235" s="7">
        <v>500</v>
      </c>
      <c r="V235" s="6">
        <v>160</v>
      </c>
      <c r="W235" s="6">
        <v>24</v>
      </c>
      <c r="X235" s="6" t="s">
        <v>99</v>
      </c>
      <c r="Y235" s="6" t="s">
        <v>73</v>
      </c>
      <c r="Z235" s="6" t="s">
        <v>37</v>
      </c>
      <c r="AA235" s="6" t="s">
        <v>74</v>
      </c>
      <c r="AB235" s="6" t="s">
        <v>37</v>
      </c>
      <c r="AC235" s="6" t="s">
        <v>100</v>
      </c>
      <c r="AD235" s="26" t="s">
        <v>77</v>
      </c>
      <c r="AE235" s="7">
        <v>420</v>
      </c>
      <c r="AF235" s="6">
        <v>470</v>
      </c>
      <c r="AG235" s="10">
        <v>6.5</v>
      </c>
      <c r="AH235" s="31" t="s">
        <v>101</v>
      </c>
    </row>
    <row r="236" ht="13.9" spans="1:34">
      <c r="A236" s="6">
        <v>2014</v>
      </c>
      <c r="B236" s="7">
        <v>0.14</v>
      </c>
      <c r="C236" s="6">
        <v>0.01</v>
      </c>
      <c r="D236" s="6">
        <v>3.87</v>
      </c>
      <c r="E236" s="6">
        <v>0.01</v>
      </c>
      <c r="F236" s="6">
        <v>0.6</v>
      </c>
      <c r="G236" s="6">
        <v>0</v>
      </c>
      <c r="H236" s="6">
        <v>0.001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8">
        <f t="shared" si="10"/>
        <v>95.369</v>
      </c>
      <c r="U236" s="7">
        <v>500</v>
      </c>
      <c r="V236" s="6">
        <v>160</v>
      </c>
      <c r="W236" s="6">
        <v>24</v>
      </c>
      <c r="X236" s="6" t="s">
        <v>99</v>
      </c>
      <c r="Y236" s="6" t="s">
        <v>73</v>
      </c>
      <c r="Z236" s="6" t="s">
        <v>37</v>
      </c>
      <c r="AA236" s="6" t="s">
        <v>74</v>
      </c>
      <c r="AB236" s="6" t="s">
        <v>37</v>
      </c>
      <c r="AC236" s="6" t="s">
        <v>100</v>
      </c>
      <c r="AD236" s="26" t="s">
        <v>77</v>
      </c>
      <c r="AE236" s="7">
        <v>270</v>
      </c>
      <c r="AF236" s="6">
        <v>408</v>
      </c>
      <c r="AG236" s="10">
        <v>20</v>
      </c>
      <c r="AH236" s="31" t="s">
        <v>101</v>
      </c>
    </row>
    <row r="237" ht="13.9" spans="1:34">
      <c r="A237" s="6">
        <v>2014</v>
      </c>
      <c r="B237" s="7">
        <v>0.83</v>
      </c>
      <c r="C237" s="6">
        <v>0.29</v>
      </c>
      <c r="D237" s="6">
        <v>3.91</v>
      </c>
      <c r="E237" s="6">
        <v>0.55</v>
      </c>
      <c r="F237" s="6">
        <v>0.47</v>
      </c>
      <c r="G237" s="6">
        <v>0.01</v>
      </c>
      <c r="H237" s="6">
        <v>0.06</v>
      </c>
      <c r="I237" s="6">
        <v>0</v>
      </c>
      <c r="J237" s="6">
        <v>0.07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8">
        <f t="shared" si="10"/>
        <v>93.81</v>
      </c>
      <c r="U237" s="7">
        <v>500</v>
      </c>
      <c r="V237" s="6">
        <v>160</v>
      </c>
      <c r="W237" s="6">
        <v>8</v>
      </c>
      <c r="X237" s="6" t="s">
        <v>99</v>
      </c>
      <c r="Y237" s="6" t="s">
        <v>73</v>
      </c>
      <c r="Z237" s="6" t="s">
        <v>37</v>
      </c>
      <c r="AA237" s="6" t="s">
        <v>74</v>
      </c>
      <c r="AB237" s="6" t="s">
        <v>37</v>
      </c>
      <c r="AC237" s="6" t="s">
        <v>100</v>
      </c>
      <c r="AD237" s="26" t="s">
        <v>77</v>
      </c>
      <c r="AE237" s="7">
        <v>310</v>
      </c>
      <c r="AF237" s="6">
        <v>360</v>
      </c>
      <c r="AG237" s="10">
        <v>3</v>
      </c>
      <c r="AH237" s="31" t="s">
        <v>101</v>
      </c>
    </row>
    <row r="238" ht="13.9" spans="1:34">
      <c r="A238" s="6">
        <v>2014</v>
      </c>
      <c r="B238" s="7">
        <v>0.83</v>
      </c>
      <c r="C238" s="6">
        <v>0.29</v>
      </c>
      <c r="D238" s="6">
        <v>3.91</v>
      </c>
      <c r="E238" s="6">
        <v>0.55</v>
      </c>
      <c r="F238" s="6">
        <v>0.47</v>
      </c>
      <c r="G238" s="6">
        <v>0.01</v>
      </c>
      <c r="H238" s="6">
        <v>0.06</v>
      </c>
      <c r="I238" s="6">
        <v>0</v>
      </c>
      <c r="J238" s="6">
        <v>0.07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8">
        <f t="shared" si="10"/>
        <v>93.81</v>
      </c>
      <c r="U238" s="7">
        <v>500</v>
      </c>
      <c r="V238" s="6">
        <v>170</v>
      </c>
      <c r="W238" s="6">
        <v>18</v>
      </c>
      <c r="X238" s="6" t="s">
        <v>99</v>
      </c>
      <c r="Y238" s="6" t="s">
        <v>73</v>
      </c>
      <c r="Z238" s="6" t="s">
        <v>37</v>
      </c>
      <c r="AA238" s="6" t="s">
        <v>74</v>
      </c>
      <c r="AB238" s="6" t="s">
        <v>37</v>
      </c>
      <c r="AC238" s="6" t="s">
        <v>100</v>
      </c>
      <c r="AD238" s="26" t="s">
        <v>77</v>
      </c>
      <c r="AE238" s="7">
        <v>310</v>
      </c>
      <c r="AF238" s="6">
        <v>360</v>
      </c>
      <c r="AG238" s="10">
        <v>3</v>
      </c>
      <c r="AH238" s="31" t="s">
        <v>101</v>
      </c>
    </row>
    <row r="239" ht="13.9" spans="1:34">
      <c r="A239" s="6">
        <v>2014</v>
      </c>
      <c r="B239" s="7">
        <v>0.8</v>
      </c>
      <c r="C239" s="6">
        <v>0</v>
      </c>
      <c r="D239" s="6">
        <v>4.5</v>
      </c>
      <c r="E239" s="6">
        <v>0.8</v>
      </c>
      <c r="F239" s="6">
        <v>0.5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8">
        <f t="shared" si="10"/>
        <v>93.4</v>
      </c>
      <c r="U239" s="7">
        <v>505</v>
      </c>
      <c r="V239" s="6">
        <v>177</v>
      </c>
      <c r="W239" s="6">
        <v>18</v>
      </c>
      <c r="X239" s="6" t="s">
        <v>42</v>
      </c>
      <c r="Y239" s="6" t="s">
        <v>73</v>
      </c>
      <c r="Z239" s="6" t="s">
        <v>37</v>
      </c>
      <c r="AA239" s="6" t="s">
        <v>74</v>
      </c>
      <c r="AB239" s="6" t="s">
        <v>37</v>
      </c>
      <c r="AC239" s="6" t="s">
        <v>43</v>
      </c>
      <c r="AD239" s="26" t="s">
        <v>77</v>
      </c>
      <c r="AE239" s="7">
        <v>425</v>
      </c>
      <c r="AF239" s="6">
        <v>509</v>
      </c>
      <c r="AG239" s="10">
        <v>10</v>
      </c>
      <c r="AH239" s="31" t="s">
        <v>102</v>
      </c>
    </row>
    <row r="240" ht="13.9" spans="1:34">
      <c r="A240" s="6">
        <v>2014</v>
      </c>
      <c r="B240" s="7">
        <v>0.85</v>
      </c>
      <c r="C240" s="6">
        <v>0.7</v>
      </c>
      <c r="D240" s="6">
        <v>4.45</v>
      </c>
      <c r="E240" s="6">
        <v>0.8</v>
      </c>
      <c r="F240" s="6">
        <v>0.5</v>
      </c>
      <c r="G240" s="6">
        <v>0.1</v>
      </c>
      <c r="H240" s="6">
        <v>0.25</v>
      </c>
      <c r="I240" s="6">
        <v>0</v>
      </c>
      <c r="J240" s="6">
        <v>0.15</v>
      </c>
      <c r="K240" s="6">
        <v>0.05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8">
        <f t="shared" si="10"/>
        <v>92.15</v>
      </c>
      <c r="U240" s="7">
        <v>500</v>
      </c>
      <c r="V240" s="6">
        <v>160</v>
      </c>
      <c r="W240" s="6">
        <v>18</v>
      </c>
      <c r="X240" s="6" t="s">
        <v>53</v>
      </c>
      <c r="Y240" s="6" t="s">
        <v>73</v>
      </c>
      <c r="Z240" s="6" t="s">
        <v>37</v>
      </c>
      <c r="AA240" s="6" t="s">
        <v>74</v>
      </c>
      <c r="AB240" s="6" t="s">
        <v>37</v>
      </c>
      <c r="AC240" s="6" t="s">
        <v>53</v>
      </c>
      <c r="AD240" s="26" t="s">
        <v>77</v>
      </c>
      <c r="AE240" s="7">
        <v>410</v>
      </c>
      <c r="AF240" s="6">
        <v>480</v>
      </c>
      <c r="AG240" s="10">
        <v>13</v>
      </c>
      <c r="AH240" s="31" t="s">
        <v>88</v>
      </c>
    </row>
    <row r="241" ht="13.9" spans="1:34">
      <c r="A241" s="6">
        <v>2014</v>
      </c>
      <c r="B241" s="7">
        <v>0.85</v>
      </c>
      <c r="C241" s="6">
        <v>0</v>
      </c>
      <c r="D241" s="6">
        <v>4.44</v>
      </c>
      <c r="E241" s="6">
        <v>0.77</v>
      </c>
      <c r="F241" s="6">
        <v>0.45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8">
        <f t="shared" si="10"/>
        <v>93.49</v>
      </c>
      <c r="U241" s="7">
        <v>500</v>
      </c>
      <c r="V241" s="6">
        <v>160</v>
      </c>
      <c r="W241" s="6">
        <v>8.5</v>
      </c>
      <c r="X241" s="6" t="s">
        <v>42</v>
      </c>
      <c r="Y241" s="6" t="s">
        <v>73</v>
      </c>
      <c r="Z241" s="6" t="s">
        <v>37</v>
      </c>
      <c r="AA241" s="6" t="s">
        <v>74</v>
      </c>
      <c r="AB241" s="6" t="s">
        <v>37</v>
      </c>
      <c r="AC241" s="6" t="s">
        <v>51</v>
      </c>
      <c r="AD241" s="26" t="s">
        <v>77</v>
      </c>
      <c r="AE241" s="7">
        <v>320</v>
      </c>
      <c r="AF241" s="6">
        <v>380</v>
      </c>
      <c r="AG241" s="10">
        <v>15</v>
      </c>
      <c r="AH241" s="31" t="s">
        <v>103</v>
      </c>
    </row>
    <row r="242" ht="13.9" spans="1:34">
      <c r="A242" s="6">
        <v>2014</v>
      </c>
      <c r="B242" s="7">
        <v>0.85</v>
      </c>
      <c r="C242" s="6">
        <v>0</v>
      </c>
      <c r="D242" s="6">
        <v>4.44</v>
      </c>
      <c r="E242" s="6">
        <v>0.77</v>
      </c>
      <c r="F242" s="6">
        <v>0.45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8">
        <f t="shared" si="10"/>
        <v>93.49</v>
      </c>
      <c r="U242" s="7">
        <v>500</v>
      </c>
      <c r="V242" s="6">
        <v>160</v>
      </c>
      <c r="W242" s="6">
        <v>8.5</v>
      </c>
      <c r="X242" s="6" t="s">
        <v>42</v>
      </c>
      <c r="Y242" s="6" t="s">
        <v>73</v>
      </c>
      <c r="Z242" s="6" t="s">
        <v>37</v>
      </c>
      <c r="AA242" s="6" t="s">
        <v>74</v>
      </c>
      <c r="AB242" s="6" t="s">
        <v>37</v>
      </c>
      <c r="AC242" s="6" t="s">
        <v>69</v>
      </c>
      <c r="AD242" s="26" t="s">
        <v>77</v>
      </c>
      <c r="AE242" s="7">
        <v>320</v>
      </c>
      <c r="AF242" s="6">
        <v>380</v>
      </c>
      <c r="AG242" s="10">
        <v>15</v>
      </c>
      <c r="AH242" s="31" t="s">
        <v>103</v>
      </c>
    </row>
    <row r="243" ht="13.9" spans="1:34">
      <c r="A243" s="6">
        <v>2014</v>
      </c>
      <c r="B243" s="7">
        <v>0.85</v>
      </c>
      <c r="C243" s="6">
        <v>0</v>
      </c>
      <c r="D243" s="6">
        <v>4.44</v>
      </c>
      <c r="E243" s="6">
        <v>0.77</v>
      </c>
      <c r="F243" s="6">
        <v>0.45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8">
        <f t="shared" si="10"/>
        <v>93.49</v>
      </c>
      <c r="U243" s="7">
        <v>500</v>
      </c>
      <c r="V243" s="6">
        <v>160</v>
      </c>
      <c r="W243" s="6">
        <v>8.5</v>
      </c>
      <c r="X243" s="6" t="s">
        <v>42</v>
      </c>
      <c r="Y243" s="6" t="s">
        <v>73</v>
      </c>
      <c r="Z243" s="6" t="s">
        <v>37</v>
      </c>
      <c r="AA243" s="6" t="s">
        <v>74</v>
      </c>
      <c r="AB243" s="6" t="s">
        <v>37</v>
      </c>
      <c r="AC243" s="6" t="s">
        <v>38</v>
      </c>
      <c r="AD243" s="26" t="s">
        <v>77</v>
      </c>
      <c r="AE243" s="7">
        <v>320</v>
      </c>
      <c r="AF243" s="6">
        <v>380</v>
      </c>
      <c r="AG243" s="10">
        <v>15</v>
      </c>
      <c r="AH243" s="31" t="s">
        <v>103</v>
      </c>
    </row>
    <row r="244" ht="13.9" spans="1:34">
      <c r="A244" s="6">
        <v>2014</v>
      </c>
      <c r="B244" s="7">
        <v>0.81</v>
      </c>
      <c r="C244" s="6">
        <v>0.27</v>
      </c>
      <c r="D244" s="6">
        <v>4.27</v>
      </c>
      <c r="E244" s="6">
        <v>0.74</v>
      </c>
      <c r="F244" s="6">
        <v>0.52</v>
      </c>
      <c r="G244" s="6">
        <v>0.02</v>
      </c>
      <c r="H244" s="6">
        <v>0.09</v>
      </c>
      <c r="I244" s="6">
        <v>0</v>
      </c>
      <c r="J244" s="6">
        <v>0.02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8">
        <f t="shared" si="10"/>
        <v>93.26</v>
      </c>
      <c r="U244" s="7">
        <v>500</v>
      </c>
      <c r="V244" s="6">
        <v>170</v>
      </c>
      <c r="W244" s="6">
        <v>12</v>
      </c>
      <c r="X244" s="6" t="s">
        <v>96</v>
      </c>
      <c r="Y244" s="6" t="s">
        <v>73</v>
      </c>
      <c r="Z244" s="6" t="s">
        <v>37</v>
      </c>
      <c r="AA244" s="6" t="s">
        <v>74</v>
      </c>
      <c r="AB244" s="6" t="s">
        <v>37</v>
      </c>
      <c r="AC244" s="6" t="s">
        <v>97</v>
      </c>
      <c r="AD244" s="26" t="s">
        <v>77</v>
      </c>
      <c r="AE244" s="7">
        <v>340</v>
      </c>
      <c r="AF244" s="6">
        <v>425</v>
      </c>
      <c r="AG244" s="5">
        <v>6</v>
      </c>
      <c r="AH244" s="31" t="s">
        <v>104</v>
      </c>
    </row>
    <row r="245" ht="13.9" spans="1:34">
      <c r="A245" s="6">
        <v>2014</v>
      </c>
      <c r="B245" s="7">
        <v>0.81</v>
      </c>
      <c r="C245" s="6">
        <v>0.27</v>
      </c>
      <c r="D245" s="6">
        <v>4.27</v>
      </c>
      <c r="E245" s="6">
        <v>0.74</v>
      </c>
      <c r="F245" s="6">
        <v>0.52</v>
      </c>
      <c r="G245" s="6">
        <v>0.02</v>
      </c>
      <c r="H245" s="6">
        <v>0.09</v>
      </c>
      <c r="I245" s="6">
        <v>0</v>
      </c>
      <c r="J245" s="6">
        <v>0.02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8">
        <f t="shared" si="10"/>
        <v>93.26</v>
      </c>
      <c r="U245" s="7">
        <v>500</v>
      </c>
      <c r="V245" s="6">
        <v>140</v>
      </c>
      <c r="W245" s="6">
        <v>96</v>
      </c>
      <c r="X245" s="6" t="s">
        <v>96</v>
      </c>
      <c r="Y245" s="6" t="s">
        <v>73</v>
      </c>
      <c r="Z245" s="6" t="s">
        <v>37</v>
      </c>
      <c r="AA245" s="6" t="s">
        <v>74</v>
      </c>
      <c r="AB245" s="6" t="s">
        <v>37</v>
      </c>
      <c r="AC245" s="6" t="s">
        <v>97</v>
      </c>
      <c r="AD245" s="26" t="s">
        <v>77</v>
      </c>
      <c r="AE245" s="7">
        <v>260</v>
      </c>
      <c r="AF245" s="6">
        <v>400</v>
      </c>
      <c r="AG245" s="6">
        <v>8</v>
      </c>
      <c r="AH245" s="31" t="s">
        <v>104</v>
      </c>
    </row>
    <row r="246" spans="1:34">
      <c r="A246" s="6">
        <v>2014</v>
      </c>
      <c r="B246" s="7">
        <v>0.85</v>
      </c>
      <c r="C246" s="6">
        <v>0.7</v>
      </c>
      <c r="D246" s="6">
        <v>4.45</v>
      </c>
      <c r="E246" s="6">
        <v>0.8</v>
      </c>
      <c r="F246" s="6">
        <v>0.5</v>
      </c>
      <c r="G246" s="6">
        <v>0.1</v>
      </c>
      <c r="H246" s="6">
        <v>0.25</v>
      </c>
      <c r="I246" s="6">
        <v>0</v>
      </c>
      <c r="J246" s="6">
        <v>0.15</v>
      </c>
      <c r="K246" s="6">
        <v>0.05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8">
        <f t="shared" si="10"/>
        <v>92.15</v>
      </c>
      <c r="U246" s="7">
        <v>500</v>
      </c>
      <c r="V246" s="6">
        <v>165</v>
      </c>
      <c r="W246" s="6">
        <v>10</v>
      </c>
      <c r="X246" s="6" t="s">
        <v>96</v>
      </c>
      <c r="Y246" s="6" t="s">
        <v>73</v>
      </c>
      <c r="Z246" s="6" t="s">
        <v>79</v>
      </c>
      <c r="AA246" s="6" t="s">
        <v>74</v>
      </c>
      <c r="AB246" s="6" t="s">
        <v>37</v>
      </c>
      <c r="AC246" s="6" t="s">
        <v>97</v>
      </c>
      <c r="AD246" s="26" t="s">
        <v>83</v>
      </c>
      <c r="AE246" s="7">
        <v>454</v>
      </c>
      <c r="AF246" s="6">
        <v>466</v>
      </c>
      <c r="AG246" s="6">
        <v>10.5</v>
      </c>
      <c r="AH246" s="11" t="s">
        <v>105</v>
      </c>
    </row>
    <row r="247" s="3" customFormat="1" spans="1:34">
      <c r="A247" s="3">
        <v>2014</v>
      </c>
      <c r="B247" s="16">
        <v>0.85</v>
      </c>
      <c r="C247" s="3">
        <v>0.7</v>
      </c>
      <c r="D247" s="3">
        <v>4.45</v>
      </c>
      <c r="E247" s="3">
        <v>0.8</v>
      </c>
      <c r="F247" s="3">
        <v>0.5</v>
      </c>
      <c r="G247" s="3">
        <v>0.1</v>
      </c>
      <c r="H247" s="3">
        <v>0.25</v>
      </c>
      <c r="I247" s="3">
        <v>0</v>
      </c>
      <c r="J247" s="3">
        <v>0.15</v>
      </c>
      <c r="K247" s="3">
        <v>0.05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22">
        <f t="shared" si="10"/>
        <v>92.15</v>
      </c>
      <c r="U247" s="16">
        <v>500</v>
      </c>
      <c r="V247" s="3">
        <v>150</v>
      </c>
      <c r="W247" s="3">
        <v>4</v>
      </c>
      <c r="X247" s="3" t="s">
        <v>96</v>
      </c>
      <c r="Y247" s="3" t="s">
        <v>73</v>
      </c>
      <c r="Z247" s="3" t="s">
        <v>79</v>
      </c>
      <c r="AA247" s="3" t="s">
        <v>74</v>
      </c>
      <c r="AB247" s="3" t="s">
        <v>37</v>
      </c>
      <c r="AC247" s="3" t="s">
        <v>97</v>
      </c>
      <c r="AD247" s="27" t="s">
        <v>83</v>
      </c>
      <c r="AE247" s="16">
        <v>348</v>
      </c>
      <c r="AF247" s="3">
        <v>403</v>
      </c>
      <c r="AG247" s="3">
        <v>6.5</v>
      </c>
      <c r="AH247" s="43" t="s">
        <v>105</v>
      </c>
    </row>
    <row r="248" ht="13.9" spans="1:34">
      <c r="A248" s="6">
        <v>2017</v>
      </c>
      <c r="B248" s="7">
        <v>0.5</v>
      </c>
      <c r="C248" s="6">
        <v>0.35</v>
      </c>
      <c r="D248" s="6">
        <v>4</v>
      </c>
      <c r="E248" s="6">
        <v>0.7</v>
      </c>
      <c r="F248" s="6">
        <v>0.6</v>
      </c>
      <c r="G248" s="6">
        <v>0.1</v>
      </c>
      <c r="H248" s="6">
        <v>0.25</v>
      </c>
      <c r="I248" s="6">
        <v>0</v>
      </c>
      <c r="J248" s="6">
        <v>0.125</v>
      </c>
      <c r="K248" s="6">
        <v>0.125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8">
        <f t="shared" si="10"/>
        <v>93.25</v>
      </c>
      <c r="U248" s="7">
        <v>500</v>
      </c>
      <c r="V248" s="6">
        <v>25</v>
      </c>
      <c r="W248" s="6">
        <v>0</v>
      </c>
      <c r="X248" s="6" t="s">
        <v>42</v>
      </c>
      <c r="Y248" s="6" t="s">
        <v>73</v>
      </c>
      <c r="Z248" s="6" t="s">
        <v>84</v>
      </c>
      <c r="AA248" s="6" t="s">
        <v>80</v>
      </c>
      <c r="AB248" s="6" t="s">
        <v>37</v>
      </c>
      <c r="AC248" s="6" t="s">
        <v>69</v>
      </c>
      <c r="AD248" s="8" t="s">
        <v>85</v>
      </c>
      <c r="AE248" s="7">
        <v>275</v>
      </c>
      <c r="AF248" s="6">
        <v>427</v>
      </c>
      <c r="AG248" s="10">
        <v>22</v>
      </c>
      <c r="AH248" s="31" t="s">
        <v>54</v>
      </c>
    </row>
    <row r="249" ht="13.9" spans="1:34">
      <c r="A249" s="6">
        <v>2017</v>
      </c>
      <c r="B249" s="7">
        <v>0.5</v>
      </c>
      <c r="C249" s="6">
        <v>0.35</v>
      </c>
      <c r="D249" s="6">
        <v>4</v>
      </c>
      <c r="E249" s="6">
        <v>0.7</v>
      </c>
      <c r="F249" s="6">
        <v>0.6</v>
      </c>
      <c r="G249" s="6">
        <v>0.1</v>
      </c>
      <c r="H249" s="6">
        <v>0.25</v>
      </c>
      <c r="I249" s="6">
        <v>0</v>
      </c>
      <c r="J249" s="6">
        <v>0.125</v>
      </c>
      <c r="K249" s="6">
        <v>0.125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8">
        <f t="shared" si="10"/>
        <v>93.25</v>
      </c>
      <c r="U249" s="7">
        <v>500</v>
      </c>
      <c r="V249" s="6">
        <v>25</v>
      </c>
      <c r="W249" s="6">
        <v>0</v>
      </c>
      <c r="X249" s="6" t="s">
        <v>53</v>
      </c>
      <c r="Y249" s="6" t="s">
        <v>73</v>
      </c>
      <c r="Z249" s="6" t="s">
        <v>84</v>
      </c>
      <c r="AA249" s="6" t="s">
        <v>80</v>
      </c>
      <c r="AB249" s="6" t="s">
        <v>37</v>
      </c>
      <c r="AC249" s="6" t="s">
        <v>53</v>
      </c>
      <c r="AD249" s="26" t="s">
        <v>85</v>
      </c>
      <c r="AE249" s="7">
        <v>275</v>
      </c>
      <c r="AF249" s="6">
        <v>427</v>
      </c>
      <c r="AG249" s="10">
        <v>22</v>
      </c>
      <c r="AH249" s="31" t="s">
        <v>54</v>
      </c>
    </row>
    <row r="250" ht="13.9" spans="1:34">
      <c r="A250" s="6">
        <v>2017</v>
      </c>
      <c r="B250" s="7">
        <v>0.5</v>
      </c>
      <c r="C250" s="6">
        <v>0.35</v>
      </c>
      <c r="D250" s="6">
        <v>4</v>
      </c>
      <c r="E250" s="6">
        <v>0.7</v>
      </c>
      <c r="F250" s="6">
        <v>0.6</v>
      </c>
      <c r="G250" s="6">
        <v>0.1</v>
      </c>
      <c r="H250" s="6">
        <v>0.25</v>
      </c>
      <c r="I250" s="6">
        <v>0</v>
      </c>
      <c r="J250" s="6">
        <v>0.125</v>
      </c>
      <c r="K250" s="6">
        <v>0.125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8">
        <f t="shared" si="10"/>
        <v>93.25</v>
      </c>
      <c r="U250" s="7">
        <v>500</v>
      </c>
      <c r="V250" s="6">
        <v>25</v>
      </c>
      <c r="W250" s="6">
        <v>0</v>
      </c>
      <c r="X250" s="6" t="s">
        <v>42</v>
      </c>
      <c r="Y250" s="6" t="s">
        <v>73</v>
      </c>
      <c r="Z250" s="6" t="s">
        <v>37</v>
      </c>
      <c r="AA250" s="6" t="s">
        <v>80</v>
      </c>
      <c r="AB250" s="6" t="s">
        <v>37</v>
      </c>
      <c r="AC250" s="6" t="s">
        <v>69</v>
      </c>
      <c r="AD250" s="26" t="s">
        <v>86</v>
      </c>
      <c r="AE250" s="7">
        <v>275</v>
      </c>
      <c r="AF250" s="6">
        <v>427</v>
      </c>
      <c r="AG250" s="10">
        <v>22</v>
      </c>
      <c r="AH250" s="31" t="s">
        <v>54</v>
      </c>
    </row>
    <row r="251" ht="13.9" spans="1:34">
      <c r="A251" s="6">
        <v>2017</v>
      </c>
      <c r="B251" s="7">
        <v>0.5</v>
      </c>
      <c r="C251" s="6">
        <v>0.35</v>
      </c>
      <c r="D251" s="6">
        <v>4</v>
      </c>
      <c r="E251" s="6">
        <v>0.7</v>
      </c>
      <c r="F251" s="6">
        <v>0.6</v>
      </c>
      <c r="G251" s="6">
        <v>0.1</v>
      </c>
      <c r="H251" s="6">
        <v>0.25</v>
      </c>
      <c r="I251" s="6">
        <v>0</v>
      </c>
      <c r="J251" s="6">
        <v>0.125</v>
      </c>
      <c r="K251" s="6">
        <v>0.125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8">
        <f t="shared" si="10"/>
        <v>93.25</v>
      </c>
      <c r="U251" s="7">
        <v>500</v>
      </c>
      <c r="V251" s="6">
        <v>25</v>
      </c>
      <c r="W251" s="6">
        <v>0</v>
      </c>
      <c r="X251" s="6" t="s">
        <v>53</v>
      </c>
      <c r="Y251" s="6" t="s">
        <v>73</v>
      </c>
      <c r="Z251" s="6" t="s">
        <v>37</v>
      </c>
      <c r="AA251" s="6" t="s">
        <v>80</v>
      </c>
      <c r="AB251" s="6" t="s">
        <v>37</v>
      </c>
      <c r="AC251" s="6" t="s">
        <v>53</v>
      </c>
      <c r="AD251" s="26" t="s">
        <v>86</v>
      </c>
      <c r="AE251" s="7">
        <v>275</v>
      </c>
      <c r="AF251" s="6">
        <v>427</v>
      </c>
      <c r="AG251" s="10">
        <v>22</v>
      </c>
      <c r="AH251" s="31" t="s">
        <v>54</v>
      </c>
    </row>
    <row r="252" ht="13.9" spans="1:34">
      <c r="A252" s="6">
        <v>2017</v>
      </c>
      <c r="B252" s="7">
        <v>0.5</v>
      </c>
      <c r="C252" s="6">
        <v>0.35</v>
      </c>
      <c r="D252" s="6">
        <v>4</v>
      </c>
      <c r="E252" s="6">
        <v>0.7</v>
      </c>
      <c r="F252" s="6">
        <v>0.6</v>
      </c>
      <c r="G252" s="6">
        <v>0.1</v>
      </c>
      <c r="H252" s="6">
        <v>0.25</v>
      </c>
      <c r="I252" s="6">
        <v>0</v>
      </c>
      <c r="J252" s="6">
        <v>0.125</v>
      </c>
      <c r="K252" s="6">
        <v>0.125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8">
        <f t="shared" si="10"/>
        <v>93.25</v>
      </c>
      <c r="U252" s="7">
        <v>415</v>
      </c>
      <c r="V252" s="6">
        <v>25</v>
      </c>
      <c r="W252" s="6">
        <v>0</v>
      </c>
      <c r="X252" s="6" t="s">
        <v>42</v>
      </c>
      <c r="Y252" s="6" t="s">
        <v>50</v>
      </c>
      <c r="Z252" s="6" t="s">
        <v>37</v>
      </c>
      <c r="AA252" s="6" t="s">
        <v>37</v>
      </c>
      <c r="AB252" s="6" t="s">
        <v>37</v>
      </c>
      <c r="AC252" s="6" t="s">
        <v>69</v>
      </c>
      <c r="AD252" s="26" t="s">
        <v>57</v>
      </c>
      <c r="AE252" s="7">
        <v>70</v>
      </c>
      <c r="AF252" s="6">
        <v>180</v>
      </c>
      <c r="AG252" s="10">
        <v>22</v>
      </c>
      <c r="AH252" s="31" t="s">
        <v>54</v>
      </c>
    </row>
    <row r="253" s="3" customFormat="1" ht="13.9" spans="1:34">
      <c r="A253" s="3">
        <v>2017</v>
      </c>
      <c r="B253" s="16">
        <v>0.44</v>
      </c>
      <c r="C253" s="3">
        <v>0.25</v>
      </c>
      <c r="D253" s="3">
        <v>3.8</v>
      </c>
      <c r="E253" s="3">
        <v>0.68</v>
      </c>
      <c r="F253" s="3">
        <v>0.56</v>
      </c>
      <c r="G253" s="3">
        <v>0.02</v>
      </c>
      <c r="H253" s="3">
        <v>0.02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22">
        <f t="shared" si="10"/>
        <v>94.23</v>
      </c>
      <c r="U253" s="16">
        <v>500</v>
      </c>
      <c r="V253" s="3">
        <v>25</v>
      </c>
      <c r="W253" s="3">
        <v>0</v>
      </c>
      <c r="X253" s="3" t="s">
        <v>53</v>
      </c>
      <c r="Y253" s="3" t="s">
        <v>73</v>
      </c>
      <c r="Z253" s="3" t="s">
        <v>37</v>
      </c>
      <c r="AA253" s="3" t="s">
        <v>80</v>
      </c>
      <c r="AB253" s="3" t="s">
        <v>37</v>
      </c>
      <c r="AC253" s="3" t="s">
        <v>51</v>
      </c>
      <c r="AD253" s="27" t="s">
        <v>86</v>
      </c>
      <c r="AE253" s="16" t="s">
        <v>40</v>
      </c>
      <c r="AF253" s="3">
        <v>414</v>
      </c>
      <c r="AG253" s="32">
        <v>26.3</v>
      </c>
      <c r="AH253" s="33" t="s">
        <v>106</v>
      </c>
    </row>
    <row r="254" ht="13.9" spans="1:34">
      <c r="A254" s="6">
        <v>2024</v>
      </c>
      <c r="B254" s="7">
        <v>0.5</v>
      </c>
      <c r="C254" s="6">
        <v>0.5</v>
      </c>
      <c r="D254" s="6">
        <v>4.35</v>
      </c>
      <c r="E254" s="6">
        <v>0.6</v>
      </c>
      <c r="F254" s="6">
        <v>1.5</v>
      </c>
      <c r="G254" s="6">
        <v>0.1</v>
      </c>
      <c r="H254" s="6">
        <v>0.25</v>
      </c>
      <c r="I254" s="6">
        <v>0</v>
      </c>
      <c r="J254" s="6">
        <v>0.15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8">
        <f t="shared" si="10"/>
        <v>92.05</v>
      </c>
      <c r="U254" s="7">
        <v>495</v>
      </c>
      <c r="V254" s="6">
        <v>25</v>
      </c>
      <c r="W254" s="6">
        <v>0</v>
      </c>
      <c r="X254" s="6" t="s">
        <v>42</v>
      </c>
      <c r="Y254" s="6" t="s">
        <v>73</v>
      </c>
      <c r="Z254" s="6" t="s">
        <v>37</v>
      </c>
      <c r="AA254" s="6" t="s">
        <v>80</v>
      </c>
      <c r="AB254" s="6" t="s">
        <v>37</v>
      </c>
      <c r="AC254" s="6" t="s">
        <v>59</v>
      </c>
      <c r="AD254" s="26" t="s">
        <v>86</v>
      </c>
      <c r="AE254" s="7">
        <v>288</v>
      </c>
      <c r="AF254" s="6">
        <v>420</v>
      </c>
      <c r="AG254" s="34">
        <v>10</v>
      </c>
      <c r="AH254" s="11" t="s">
        <v>82</v>
      </c>
    </row>
    <row r="255" ht="13.9" spans="1:34">
      <c r="A255" s="6">
        <v>2024</v>
      </c>
      <c r="B255" s="7">
        <v>0.3</v>
      </c>
      <c r="C255" s="6">
        <v>0.4</v>
      </c>
      <c r="D255" s="6">
        <v>4.4</v>
      </c>
      <c r="E255" s="6">
        <v>0.6</v>
      </c>
      <c r="F255" s="6">
        <v>1.6</v>
      </c>
      <c r="G255" s="6">
        <v>0.1</v>
      </c>
      <c r="H255" s="6">
        <v>0.2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8">
        <f t="shared" si="10"/>
        <v>92.4</v>
      </c>
      <c r="U255" s="7">
        <v>495</v>
      </c>
      <c r="V255" s="6">
        <v>190</v>
      </c>
      <c r="W255" s="6">
        <v>12</v>
      </c>
      <c r="X255" s="6" t="s">
        <v>53</v>
      </c>
      <c r="Y255" s="6" t="s">
        <v>73</v>
      </c>
      <c r="Z255" s="6" t="s">
        <v>37</v>
      </c>
      <c r="AA255" s="6" t="s">
        <v>74</v>
      </c>
      <c r="AB255" s="6" t="s">
        <v>37</v>
      </c>
      <c r="AC255" s="6" t="s">
        <v>53</v>
      </c>
      <c r="AD255" s="26" t="s">
        <v>77</v>
      </c>
      <c r="AE255" s="7">
        <v>393</v>
      </c>
      <c r="AF255" s="6">
        <v>476</v>
      </c>
      <c r="AG255" s="34">
        <v>10</v>
      </c>
      <c r="AH255" s="31" t="s">
        <v>107</v>
      </c>
    </row>
    <row r="256" ht="13.9" spans="1:34">
      <c r="A256" s="6">
        <v>2024</v>
      </c>
      <c r="B256" s="7">
        <v>0.5</v>
      </c>
      <c r="C256" s="6">
        <v>0.5</v>
      </c>
      <c r="D256" s="6">
        <v>4.35</v>
      </c>
      <c r="E256" s="6">
        <v>0.6</v>
      </c>
      <c r="F256" s="6">
        <v>1.5</v>
      </c>
      <c r="G256" s="6">
        <v>0.1</v>
      </c>
      <c r="H256" s="6">
        <v>0.25</v>
      </c>
      <c r="I256" s="6">
        <v>0</v>
      </c>
      <c r="J256" s="6">
        <v>0.15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8">
        <f t="shared" si="10"/>
        <v>92.05</v>
      </c>
      <c r="U256" s="7">
        <v>495</v>
      </c>
      <c r="V256" s="6">
        <v>190</v>
      </c>
      <c r="W256" s="6">
        <v>9</v>
      </c>
      <c r="X256" s="6" t="s">
        <v>42</v>
      </c>
      <c r="Y256" s="6" t="s">
        <v>73</v>
      </c>
      <c r="Z256" s="6" t="s">
        <v>37</v>
      </c>
      <c r="AA256" s="6" t="s">
        <v>74</v>
      </c>
      <c r="AB256" s="6" t="s">
        <v>37</v>
      </c>
      <c r="AC256" s="6" t="s">
        <v>59</v>
      </c>
      <c r="AD256" s="26" t="s">
        <v>77</v>
      </c>
      <c r="AE256" s="7">
        <v>345</v>
      </c>
      <c r="AF256" s="6">
        <v>427</v>
      </c>
      <c r="AG256" s="34">
        <v>5</v>
      </c>
      <c r="AH256" s="31" t="s">
        <v>107</v>
      </c>
    </row>
    <row r="257" ht="13.9" spans="1:34">
      <c r="A257" s="6">
        <v>2024</v>
      </c>
      <c r="B257" s="7">
        <v>0</v>
      </c>
      <c r="C257" s="6">
        <v>0</v>
      </c>
      <c r="D257" s="6">
        <v>4.5</v>
      </c>
      <c r="E257" s="6">
        <v>0.5</v>
      </c>
      <c r="F257" s="6">
        <v>1.5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8">
        <f t="shared" si="10"/>
        <v>93.5</v>
      </c>
      <c r="U257" s="7">
        <v>493</v>
      </c>
      <c r="V257" s="6">
        <v>100</v>
      </c>
      <c r="W257" s="6">
        <v>100</v>
      </c>
      <c r="X257" s="6" t="s">
        <v>42</v>
      </c>
      <c r="Y257" s="6" t="s">
        <v>73</v>
      </c>
      <c r="Z257" s="6" t="s">
        <v>108</v>
      </c>
      <c r="AA257" s="6" t="s">
        <v>74</v>
      </c>
      <c r="AB257" s="6" t="s">
        <v>37</v>
      </c>
      <c r="AC257" s="6" t="s">
        <v>51</v>
      </c>
      <c r="AD257" s="26" t="s">
        <v>83</v>
      </c>
      <c r="AE257" s="7">
        <v>580</v>
      </c>
      <c r="AF257" s="6">
        <v>715</v>
      </c>
      <c r="AG257" s="10">
        <v>16.5</v>
      </c>
      <c r="AH257" s="31" t="s">
        <v>109</v>
      </c>
    </row>
    <row r="258" ht="13.9" spans="1:34">
      <c r="A258" s="6">
        <v>2024</v>
      </c>
      <c r="B258" s="7">
        <v>0.3</v>
      </c>
      <c r="C258" s="6">
        <v>0.4</v>
      </c>
      <c r="D258" s="6">
        <v>4.37</v>
      </c>
      <c r="E258" s="6">
        <v>0.6</v>
      </c>
      <c r="F258" s="6">
        <v>1.29</v>
      </c>
      <c r="G258" s="6">
        <v>0.05</v>
      </c>
      <c r="H258" s="6">
        <v>0.075</v>
      </c>
      <c r="I258" s="6">
        <v>0</v>
      </c>
      <c r="J258" s="6">
        <v>0.009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8">
        <f t="shared" si="10"/>
        <v>92.906</v>
      </c>
      <c r="U258" s="7">
        <v>495</v>
      </c>
      <c r="V258" s="6">
        <v>190</v>
      </c>
      <c r="W258" s="6">
        <v>12</v>
      </c>
      <c r="X258" s="6" t="s">
        <v>44</v>
      </c>
      <c r="Y258" s="6" t="s">
        <v>73</v>
      </c>
      <c r="Z258" s="6" t="s">
        <v>37</v>
      </c>
      <c r="AA258" s="6" t="s">
        <v>74</v>
      </c>
      <c r="AB258" s="6" t="s">
        <v>37</v>
      </c>
      <c r="AC258" s="6" t="s">
        <v>51</v>
      </c>
      <c r="AD258" s="26" t="s">
        <v>77</v>
      </c>
      <c r="AE258" s="7">
        <v>350</v>
      </c>
      <c r="AF258" s="6">
        <v>500</v>
      </c>
      <c r="AG258" s="10">
        <v>11.5</v>
      </c>
      <c r="AH258" s="31" t="s">
        <v>109</v>
      </c>
    </row>
    <row r="259" ht="13.9" spans="1:34">
      <c r="A259" s="6">
        <v>2024</v>
      </c>
      <c r="B259" s="7">
        <v>0.5</v>
      </c>
      <c r="C259" s="6">
        <v>0.5</v>
      </c>
      <c r="D259" s="6">
        <v>4.35</v>
      </c>
      <c r="E259" s="6">
        <v>0.6</v>
      </c>
      <c r="F259" s="6">
        <v>1.5</v>
      </c>
      <c r="G259" s="6">
        <v>0.1</v>
      </c>
      <c r="H259" s="6">
        <v>0.25</v>
      </c>
      <c r="I259" s="6">
        <v>0</v>
      </c>
      <c r="J259" s="6">
        <v>0.15</v>
      </c>
      <c r="K259" s="6">
        <v>0.05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8">
        <f t="shared" si="10"/>
        <v>92</v>
      </c>
      <c r="U259" s="7">
        <v>495</v>
      </c>
      <c r="V259" s="6">
        <v>190</v>
      </c>
      <c r="W259" s="6">
        <v>12</v>
      </c>
      <c r="X259" s="6" t="s">
        <v>42</v>
      </c>
      <c r="Y259" s="6" t="s">
        <v>73</v>
      </c>
      <c r="Z259" s="6" t="s">
        <v>79</v>
      </c>
      <c r="AA259" s="6" t="s">
        <v>74</v>
      </c>
      <c r="AB259" s="6" t="s">
        <v>37</v>
      </c>
      <c r="AC259" s="6" t="s">
        <v>70</v>
      </c>
      <c r="AD259" s="26" t="s">
        <v>83</v>
      </c>
      <c r="AE259" s="7">
        <v>450</v>
      </c>
      <c r="AF259" s="6">
        <v>485</v>
      </c>
      <c r="AG259" s="10">
        <v>2</v>
      </c>
      <c r="AH259" s="11" t="s">
        <v>110</v>
      </c>
    </row>
    <row r="260" ht="13.9" spans="1:34">
      <c r="A260" s="6">
        <v>2024</v>
      </c>
      <c r="B260" s="7">
        <v>0</v>
      </c>
      <c r="C260" s="6">
        <v>0</v>
      </c>
      <c r="D260" s="6">
        <v>4.5</v>
      </c>
      <c r="E260" s="6">
        <v>0.6</v>
      </c>
      <c r="F260" s="6">
        <v>1.5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8">
        <f t="shared" si="10"/>
        <v>93.4</v>
      </c>
      <c r="U260" s="7">
        <v>495</v>
      </c>
      <c r="V260" s="6">
        <v>190</v>
      </c>
      <c r="W260" s="6">
        <v>12</v>
      </c>
      <c r="X260" s="6" t="s">
        <v>42</v>
      </c>
      <c r="Y260" s="6" t="s">
        <v>73</v>
      </c>
      <c r="Z260" s="6" t="s">
        <v>79</v>
      </c>
      <c r="AA260" s="6" t="s">
        <v>74</v>
      </c>
      <c r="AB260" s="6" t="s">
        <v>37</v>
      </c>
      <c r="AC260" s="6" t="s">
        <v>69</v>
      </c>
      <c r="AD260" s="26" t="s">
        <v>83</v>
      </c>
      <c r="AE260" s="7">
        <v>400</v>
      </c>
      <c r="AF260" s="6">
        <v>500</v>
      </c>
      <c r="AG260" s="10">
        <v>14.5</v>
      </c>
      <c r="AH260" s="31" t="s">
        <v>41</v>
      </c>
    </row>
    <row r="261" ht="13.9" spans="1:34">
      <c r="A261" s="6">
        <v>2024</v>
      </c>
      <c r="B261" s="7">
        <v>0</v>
      </c>
      <c r="C261" s="6">
        <v>0</v>
      </c>
      <c r="D261" s="6">
        <v>4.5</v>
      </c>
      <c r="E261" s="6">
        <v>0.6</v>
      </c>
      <c r="F261" s="6">
        <v>1.5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8">
        <f t="shared" si="10"/>
        <v>93.4</v>
      </c>
      <c r="U261" s="7">
        <v>495</v>
      </c>
      <c r="V261" s="6">
        <v>25</v>
      </c>
      <c r="W261" s="6">
        <v>48</v>
      </c>
      <c r="X261" s="6" t="s">
        <v>42</v>
      </c>
      <c r="Y261" s="6" t="s">
        <v>73</v>
      </c>
      <c r="Z261" s="6" t="s">
        <v>79</v>
      </c>
      <c r="AA261" s="6" t="s">
        <v>80</v>
      </c>
      <c r="AB261" s="6" t="s">
        <v>37</v>
      </c>
      <c r="AC261" s="6" t="s">
        <v>59</v>
      </c>
      <c r="AD261" s="26" t="s">
        <v>81</v>
      </c>
      <c r="AE261" s="7">
        <v>345</v>
      </c>
      <c r="AF261" s="6">
        <v>485</v>
      </c>
      <c r="AG261" s="10">
        <v>18</v>
      </c>
      <c r="AH261" s="31" t="s">
        <v>41</v>
      </c>
    </row>
    <row r="262" ht="15.75" customHeight="1" spans="1:34">
      <c r="A262" s="6">
        <v>2024</v>
      </c>
      <c r="B262" s="7">
        <v>0</v>
      </c>
      <c r="C262" s="6">
        <v>0</v>
      </c>
      <c r="D262" s="6">
        <v>4.5</v>
      </c>
      <c r="E262" s="6">
        <v>0.6</v>
      </c>
      <c r="F262" s="6">
        <v>1.5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8">
        <f t="shared" si="10"/>
        <v>93.4</v>
      </c>
      <c r="U262" s="7">
        <v>495</v>
      </c>
      <c r="V262" s="6">
        <v>25</v>
      </c>
      <c r="W262" s="6">
        <v>48</v>
      </c>
      <c r="X262" s="6" t="s">
        <v>42</v>
      </c>
      <c r="Y262" s="6" t="s">
        <v>73</v>
      </c>
      <c r="Z262" s="6" t="s">
        <v>37</v>
      </c>
      <c r="AA262" s="6" t="s">
        <v>80</v>
      </c>
      <c r="AB262" s="6" t="s">
        <v>37</v>
      </c>
      <c r="AC262" s="6" t="s">
        <v>69</v>
      </c>
      <c r="AD262" s="26" t="s">
        <v>86</v>
      </c>
      <c r="AE262" s="7">
        <v>300</v>
      </c>
      <c r="AF262" s="6">
        <v>480</v>
      </c>
      <c r="AG262" s="10">
        <v>20</v>
      </c>
      <c r="AH262" s="31" t="s">
        <v>41</v>
      </c>
    </row>
    <row r="263" ht="13.9" spans="1:34">
      <c r="A263" s="6">
        <v>2024</v>
      </c>
      <c r="B263" s="7">
        <v>0</v>
      </c>
      <c r="C263" s="6">
        <v>0</v>
      </c>
      <c r="D263" s="6">
        <v>4.5</v>
      </c>
      <c r="E263" s="6">
        <v>0.6</v>
      </c>
      <c r="F263" s="6">
        <v>1.5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8">
        <f t="shared" si="10"/>
        <v>93.4</v>
      </c>
      <c r="U263" s="7">
        <v>495</v>
      </c>
      <c r="V263" s="6">
        <v>160</v>
      </c>
      <c r="W263" s="6">
        <v>16</v>
      </c>
      <c r="X263" s="6" t="s">
        <v>44</v>
      </c>
      <c r="Y263" s="6" t="s">
        <v>73</v>
      </c>
      <c r="Z263" s="6" t="s">
        <v>37</v>
      </c>
      <c r="AA263" s="6" t="s">
        <v>74</v>
      </c>
      <c r="AB263" s="6" t="s">
        <v>37</v>
      </c>
      <c r="AC263" s="6" t="s">
        <v>59</v>
      </c>
      <c r="AD263" s="26" t="s">
        <v>77</v>
      </c>
      <c r="AE263" s="7">
        <v>395</v>
      </c>
      <c r="AF263" s="6">
        <v>475</v>
      </c>
      <c r="AG263" s="10">
        <v>10</v>
      </c>
      <c r="AH263" s="31" t="s">
        <v>41</v>
      </c>
    </row>
    <row r="264" ht="13.9" spans="1:34">
      <c r="A264" s="6">
        <v>2024</v>
      </c>
      <c r="B264" s="7">
        <v>0</v>
      </c>
      <c r="C264" s="6">
        <v>0</v>
      </c>
      <c r="D264" s="6">
        <v>4.5</v>
      </c>
      <c r="E264" s="6">
        <v>0.6</v>
      </c>
      <c r="F264" s="6">
        <v>1.5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8">
        <v>93.4</v>
      </c>
      <c r="U264" s="7">
        <v>495</v>
      </c>
      <c r="V264" s="6">
        <v>160</v>
      </c>
      <c r="W264" s="6">
        <v>16</v>
      </c>
      <c r="X264" s="6" t="s">
        <v>44</v>
      </c>
      <c r="Y264" s="6" t="s">
        <v>73</v>
      </c>
      <c r="Z264" s="6" t="s">
        <v>37</v>
      </c>
      <c r="AA264" s="6" t="s">
        <v>74</v>
      </c>
      <c r="AB264" s="6" t="s">
        <v>37</v>
      </c>
      <c r="AC264" s="6" t="s">
        <v>43</v>
      </c>
      <c r="AD264" s="26" t="s">
        <v>77</v>
      </c>
      <c r="AE264" s="7">
        <v>395</v>
      </c>
      <c r="AF264" s="6">
        <v>475</v>
      </c>
      <c r="AG264" s="10">
        <v>10</v>
      </c>
      <c r="AH264" s="31" t="s">
        <v>41</v>
      </c>
    </row>
    <row r="265" ht="13.9" spans="1:34">
      <c r="A265" s="6">
        <v>2024</v>
      </c>
      <c r="B265" s="7">
        <v>0</v>
      </c>
      <c r="C265" s="6">
        <v>0</v>
      </c>
      <c r="D265" s="6">
        <v>4.5</v>
      </c>
      <c r="E265" s="6">
        <v>0.6</v>
      </c>
      <c r="F265" s="6">
        <v>1.5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8">
        <f>100-SUM(B265:S265)</f>
        <v>93.4</v>
      </c>
      <c r="U265" s="7">
        <v>495</v>
      </c>
      <c r="V265" s="6">
        <v>25</v>
      </c>
      <c r="W265" s="6">
        <v>48</v>
      </c>
      <c r="X265" s="6" t="s">
        <v>53</v>
      </c>
      <c r="Y265" s="6" t="s">
        <v>73</v>
      </c>
      <c r="Z265" s="6" t="s">
        <v>37</v>
      </c>
      <c r="AA265" s="6" t="s">
        <v>80</v>
      </c>
      <c r="AB265" s="6" t="s">
        <v>37</v>
      </c>
      <c r="AC265" s="6" t="s">
        <v>53</v>
      </c>
      <c r="AD265" s="26" t="s">
        <v>86</v>
      </c>
      <c r="AE265" s="7">
        <v>340</v>
      </c>
      <c r="AF265" s="6">
        <v>470</v>
      </c>
      <c r="AG265" s="10">
        <v>19</v>
      </c>
      <c r="AH265" s="31" t="s">
        <v>41</v>
      </c>
    </row>
    <row r="266" ht="13.9" spans="1:34">
      <c r="A266" s="6">
        <v>2024</v>
      </c>
      <c r="B266" s="7">
        <v>0</v>
      </c>
      <c r="C266" s="6">
        <v>0</v>
      </c>
      <c r="D266" s="6">
        <v>4.5</v>
      </c>
      <c r="E266" s="6">
        <v>0.6</v>
      </c>
      <c r="F266" s="6">
        <v>1.5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8">
        <f>100-SUM(B266:S266)</f>
        <v>93.4</v>
      </c>
      <c r="U266" s="7">
        <v>495</v>
      </c>
      <c r="V266" s="6">
        <v>25</v>
      </c>
      <c r="W266" s="6">
        <v>48</v>
      </c>
      <c r="X266" s="6" t="s">
        <v>42</v>
      </c>
      <c r="Y266" s="6" t="s">
        <v>73</v>
      </c>
      <c r="Z266" s="6" t="s">
        <v>84</v>
      </c>
      <c r="AA266" s="6" t="s">
        <v>80</v>
      </c>
      <c r="AB266" s="6" t="s">
        <v>37</v>
      </c>
      <c r="AC266" s="6" t="s">
        <v>59</v>
      </c>
      <c r="AD266" s="26" t="s">
        <v>111</v>
      </c>
      <c r="AE266" s="7">
        <v>325</v>
      </c>
      <c r="AF266" s="6">
        <v>470</v>
      </c>
      <c r="AG266" s="10">
        <v>19</v>
      </c>
      <c r="AH266" s="31" t="s">
        <v>41</v>
      </c>
    </row>
    <row r="267" ht="13.9" spans="1:34">
      <c r="A267" s="6">
        <v>2024</v>
      </c>
      <c r="B267" s="7">
        <v>0</v>
      </c>
      <c r="C267" s="6">
        <v>0</v>
      </c>
      <c r="D267" s="6">
        <v>4.5</v>
      </c>
      <c r="E267" s="6">
        <v>0.6</v>
      </c>
      <c r="F267" s="6">
        <v>1.5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8">
        <f>100-SUM(B267:S267)</f>
        <v>93.4</v>
      </c>
      <c r="U267" s="7">
        <v>495</v>
      </c>
      <c r="V267" s="6">
        <v>25</v>
      </c>
      <c r="W267" s="6">
        <v>48</v>
      </c>
      <c r="X267" s="6" t="s">
        <v>44</v>
      </c>
      <c r="Y267" s="6" t="s">
        <v>73</v>
      </c>
      <c r="Z267" s="6" t="s">
        <v>37</v>
      </c>
      <c r="AA267" s="6" t="s">
        <v>80</v>
      </c>
      <c r="AB267" s="6" t="s">
        <v>37</v>
      </c>
      <c r="AC267" s="6" t="s">
        <v>59</v>
      </c>
      <c r="AD267" s="26" t="s">
        <v>86</v>
      </c>
      <c r="AE267" s="7">
        <v>325</v>
      </c>
      <c r="AF267" s="6">
        <v>470</v>
      </c>
      <c r="AG267" s="10">
        <v>20</v>
      </c>
      <c r="AH267" s="31" t="s">
        <v>41</v>
      </c>
    </row>
    <row r="268" ht="15.75" customHeight="1" spans="1:34">
      <c r="A268" s="6">
        <v>2024</v>
      </c>
      <c r="B268" s="7">
        <v>0</v>
      </c>
      <c r="C268" s="6">
        <v>0</v>
      </c>
      <c r="D268" s="6">
        <v>4.5</v>
      </c>
      <c r="E268" s="6">
        <v>0.6</v>
      </c>
      <c r="F268" s="6">
        <v>1.5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8">
        <v>93.4</v>
      </c>
      <c r="U268" s="7">
        <v>495</v>
      </c>
      <c r="V268" s="6">
        <v>25</v>
      </c>
      <c r="W268" s="6">
        <v>48</v>
      </c>
      <c r="X268" s="6" t="s">
        <v>44</v>
      </c>
      <c r="Y268" s="6" t="s">
        <v>73</v>
      </c>
      <c r="Z268" s="6" t="s">
        <v>37</v>
      </c>
      <c r="AA268" s="6" t="s">
        <v>80</v>
      </c>
      <c r="AB268" s="6" t="s">
        <v>37</v>
      </c>
      <c r="AC268" s="6" t="s">
        <v>43</v>
      </c>
      <c r="AD268" s="26" t="s">
        <v>86</v>
      </c>
      <c r="AE268" s="7">
        <v>325</v>
      </c>
      <c r="AF268" s="6">
        <v>470</v>
      </c>
      <c r="AG268" s="10">
        <v>20</v>
      </c>
      <c r="AH268" s="31" t="s">
        <v>41</v>
      </c>
    </row>
    <row r="269" ht="15.75" customHeight="1" spans="1:34">
      <c r="A269" s="6">
        <v>2024</v>
      </c>
      <c r="B269" s="7">
        <v>0.08</v>
      </c>
      <c r="C269" s="6">
        <v>0.16</v>
      </c>
      <c r="D269" s="6">
        <v>4.35</v>
      </c>
      <c r="E269" s="6">
        <v>0.6</v>
      </c>
      <c r="F269" s="6">
        <v>1.5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8">
        <f t="shared" ref="T269:T290" si="11">100-SUM(B269:S269)</f>
        <v>93.31</v>
      </c>
      <c r="U269" s="7">
        <v>495</v>
      </c>
      <c r="V269" s="6">
        <v>25</v>
      </c>
      <c r="W269" s="6">
        <v>0</v>
      </c>
      <c r="X269" s="6" t="s">
        <v>42</v>
      </c>
      <c r="Y269" s="6" t="s">
        <v>73</v>
      </c>
      <c r="Z269" s="6" t="s">
        <v>37</v>
      </c>
      <c r="AA269" s="6" t="s">
        <v>80</v>
      </c>
      <c r="AB269" s="6" t="s">
        <v>37</v>
      </c>
      <c r="AC269" s="6" t="s">
        <v>43</v>
      </c>
      <c r="AD269" s="26" t="s">
        <v>86</v>
      </c>
      <c r="AE269" s="7">
        <v>360</v>
      </c>
      <c r="AF269" s="6">
        <v>450</v>
      </c>
      <c r="AG269" s="10">
        <v>19</v>
      </c>
      <c r="AH269" s="31" t="s">
        <v>112</v>
      </c>
    </row>
    <row r="270" ht="15.75" customHeight="1" spans="1:34">
      <c r="A270" s="6">
        <v>2024</v>
      </c>
      <c r="B270" s="7">
        <v>0</v>
      </c>
      <c r="C270" s="6">
        <v>0</v>
      </c>
      <c r="D270" s="6">
        <v>4.5</v>
      </c>
      <c r="E270" s="6">
        <v>0.5</v>
      </c>
      <c r="F270" s="6">
        <v>1.5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8">
        <f t="shared" si="11"/>
        <v>93.5</v>
      </c>
      <c r="U270" s="7">
        <v>493</v>
      </c>
      <c r="V270" s="6">
        <v>160</v>
      </c>
      <c r="W270" s="6">
        <v>13</v>
      </c>
      <c r="X270" s="6" t="s">
        <v>42</v>
      </c>
      <c r="Y270" s="6" t="s">
        <v>73</v>
      </c>
      <c r="Z270" s="6" t="s">
        <v>108</v>
      </c>
      <c r="AA270" s="6" t="s">
        <v>74</v>
      </c>
      <c r="AB270" s="6" t="s">
        <v>37</v>
      </c>
      <c r="AC270" s="6" t="s">
        <v>51</v>
      </c>
      <c r="AD270" s="26" t="s">
        <v>83</v>
      </c>
      <c r="AE270" s="7">
        <v>530</v>
      </c>
      <c r="AF270" s="6">
        <v>685</v>
      </c>
      <c r="AG270" s="10">
        <v>15</v>
      </c>
      <c r="AH270" s="31" t="s">
        <v>113</v>
      </c>
    </row>
    <row r="271" ht="15.75" customHeight="1" spans="1:34">
      <c r="A271" s="6">
        <v>2024</v>
      </c>
      <c r="B271" s="7">
        <v>0</v>
      </c>
      <c r="C271" s="6">
        <v>0</v>
      </c>
      <c r="D271" s="6">
        <v>4.5</v>
      </c>
      <c r="E271" s="6">
        <v>0.5</v>
      </c>
      <c r="F271" s="6">
        <v>1.5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8">
        <f t="shared" si="11"/>
        <v>93.5</v>
      </c>
      <c r="U271" s="7">
        <v>493</v>
      </c>
      <c r="V271" s="6">
        <v>25</v>
      </c>
      <c r="W271" s="6">
        <v>0</v>
      </c>
      <c r="X271" s="6" t="s">
        <v>42</v>
      </c>
      <c r="Y271" s="6" t="s">
        <v>73</v>
      </c>
      <c r="Z271" s="6" t="s">
        <v>108</v>
      </c>
      <c r="AA271" s="6" t="s">
        <v>80</v>
      </c>
      <c r="AB271" s="6" t="s">
        <v>37</v>
      </c>
      <c r="AC271" s="6" t="s">
        <v>51</v>
      </c>
      <c r="AD271" s="26" t="s">
        <v>81</v>
      </c>
      <c r="AE271" s="7">
        <v>480</v>
      </c>
      <c r="AF271" s="6">
        <v>550</v>
      </c>
      <c r="AG271" s="10">
        <v>3</v>
      </c>
      <c r="AH271" s="31" t="s">
        <v>113</v>
      </c>
    </row>
    <row r="272" ht="15.75" customHeight="1" spans="1:34">
      <c r="A272" s="6">
        <v>2024</v>
      </c>
      <c r="B272" s="7">
        <v>0.3</v>
      </c>
      <c r="C272" s="6">
        <v>0.4</v>
      </c>
      <c r="D272" s="6">
        <v>4.37</v>
      </c>
      <c r="E272" s="6">
        <v>0.6</v>
      </c>
      <c r="F272" s="6">
        <v>1.29</v>
      </c>
      <c r="G272" s="6">
        <v>0.05</v>
      </c>
      <c r="H272" s="6">
        <v>0.075</v>
      </c>
      <c r="I272" s="6">
        <v>0</v>
      </c>
      <c r="J272" s="6">
        <v>0.009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8">
        <f t="shared" si="11"/>
        <v>92.906</v>
      </c>
      <c r="U272" s="7">
        <v>495</v>
      </c>
      <c r="V272" s="6">
        <v>25</v>
      </c>
      <c r="W272" s="6">
        <v>720</v>
      </c>
      <c r="X272" s="6" t="s">
        <v>44</v>
      </c>
      <c r="Y272" s="6" t="s">
        <v>73</v>
      </c>
      <c r="Z272" s="6" t="s">
        <v>37</v>
      </c>
      <c r="AA272" s="6" t="s">
        <v>80</v>
      </c>
      <c r="AB272" s="6" t="s">
        <v>37</v>
      </c>
      <c r="AC272" s="6" t="s">
        <v>51</v>
      </c>
      <c r="AD272" s="26" t="s">
        <v>86</v>
      </c>
      <c r="AE272" s="7">
        <v>310</v>
      </c>
      <c r="AF272" s="6">
        <v>460</v>
      </c>
      <c r="AG272" s="10">
        <v>16.5</v>
      </c>
      <c r="AH272" s="31" t="s">
        <v>113</v>
      </c>
    </row>
    <row r="273" ht="15.75" customHeight="1" spans="1:34">
      <c r="A273" s="6">
        <v>2024</v>
      </c>
      <c r="B273" s="7">
        <v>0.5</v>
      </c>
      <c r="C273" s="6">
        <v>0.5</v>
      </c>
      <c r="D273" s="6">
        <v>4.35</v>
      </c>
      <c r="E273" s="6">
        <v>0.6</v>
      </c>
      <c r="F273" s="6">
        <v>1.5</v>
      </c>
      <c r="G273" s="6">
        <v>0.1</v>
      </c>
      <c r="H273" s="6">
        <v>0.25</v>
      </c>
      <c r="I273" s="6">
        <v>0</v>
      </c>
      <c r="J273" s="6">
        <v>0.15</v>
      </c>
      <c r="K273" s="6">
        <v>0.05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8">
        <f t="shared" si="11"/>
        <v>92</v>
      </c>
      <c r="U273" s="7">
        <v>495</v>
      </c>
      <c r="V273" s="6">
        <v>130</v>
      </c>
      <c r="W273" s="6">
        <v>1000</v>
      </c>
      <c r="X273" s="6" t="s">
        <v>42</v>
      </c>
      <c r="Y273" s="6" t="s">
        <v>73</v>
      </c>
      <c r="Z273" s="6" t="s">
        <v>37</v>
      </c>
      <c r="AA273" s="6" t="s">
        <v>74</v>
      </c>
      <c r="AB273" s="6" t="s">
        <v>37</v>
      </c>
      <c r="AC273" s="6" t="s">
        <v>43</v>
      </c>
      <c r="AD273" s="26" t="s">
        <v>77</v>
      </c>
      <c r="AE273" s="7">
        <v>418</v>
      </c>
      <c r="AF273" s="6">
        <v>505</v>
      </c>
      <c r="AG273" s="10">
        <v>13</v>
      </c>
      <c r="AH273" s="31" t="s">
        <v>54</v>
      </c>
    </row>
    <row r="274" ht="15.75" customHeight="1" spans="1:34">
      <c r="A274" s="6">
        <v>2024</v>
      </c>
      <c r="B274" s="7">
        <v>0.5</v>
      </c>
      <c r="C274" s="6">
        <v>0.5</v>
      </c>
      <c r="D274" s="6">
        <v>4.35</v>
      </c>
      <c r="E274" s="6">
        <v>0.6</v>
      </c>
      <c r="F274" s="6">
        <v>1.5</v>
      </c>
      <c r="G274" s="6">
        <v>0.1</v>
      </c>
      <c r="H274" s="6">
        <v>0.25</v>
      </c>
      <c r="I274" s="6">
        <v>0</v>
      </c>
      <c r="J274" s="6">
        <v>0.15</v>
      </c>
      <c r="K274" s="6">
        <v>0.05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8">
        <f t="shared" si="11"/>
        <v>92</v>
      </c>
      <c r="U274" s="7">
        <v>495</v>
      </c>
      <c r="V274" s="6">
        <v>175</v>
      </c>
      <c r="W274" s="6">
        <v>24</v>
      </c>
      <c r="X274" s="6" t="s">
        <v>42</v>
      </c>
      <c r="Y274" s="6" t="s">
        <v>73</v>
      </c>
      <c r="Z274" s="6" t="s">
        <v>37</v>
      </c>
      <c r="AA274" s="6" t="s">
        <v>74</v>
      </c>
      <c r="AB274" s="6" t="s">
        <v>37</v>
      </c>
      <c r="AC274" s="6" t="s">
        <v>43</v>
      </c>
      <c r="AD274" s="26" t="s">
        <v>77</v>
      </c>
      <c r="AE274" s="7">
        <v>417</v>
      </c>
      <c r="AF274" s="6">
        <v>505</v>
      </c>
      <c r="AG274" s="10">
        <v>10</v>
      </c>
      <c r="AH274" s="31" t="s">
        <v>54</v>
      </c>
    </row>
    <row r="275" ht="15.75" customHeight="1" spans="1:34">
      <c r="A275" s="6">
        <v>2024</v>
      </c>
      <c r="B275" s="7">
        <v>0.5</v>
      </c>
      <c r="C275" s="6">
        <v>0.5</v>
      </c>
      <c r="D275" s="6">
        <v>4.35</v>
      </c>
      <c r="E275" s="6">
        <v>0.6</v>
      </c>
      <c r="F275" s="6">
        <v>1.5</v>
      </c>
      <c r="G275" s="6">
        <v>0.1</v>
      </c>
      <c r="H275" s="6">
        <v>0.25</v>
      </c>
      <c r="I275" s="6">
        <v>0</v>
      </c>
      <c r="J275" s="6">
        <v>0.15</v>
      </c>
      <c r="K275" s="6">
        <v>0.05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8">
        <f t="shared" si="11"/>
        <v>92</v>
      </c>
      <c r="U275" s="7">
        <v>495</v>
      </c>
      <c r="V275" s="6">
        <v>160</v>
      </c>
      <c r="W275" s="6">
        <v>90</v>
      </c>
      <c r="X275" s="6" t="s">
        <v>42</v>
      </c>
      <c r="Y275" s="6" t="s">
        <v>73</v>
      </c>
      <c r="Z275" s="6" t="s">
        <v>37</v>
      </c>
      <c r="AA275" s="6" t="s">
        <v>74</v>
      </c>
      <c r="AB275" s="6" t="s">
        <v>37</v>
      </c>
      <c r="AC275" s="6" t="s">
        <v>43</v>
      </c>
      <c r="AD275" s="26" t="s">
        <v>77</v>
      </c>
      <c r="AE275" s="7">
        <v>403</v>
      </c>
      <c r="AF275" s="6">
        <v>502</v>
      </c>
      <c r="AG275" s="10">
        <v>10</v>
      </c>
      <c r="AH275" s="31" t="s">
        <v>54</v>
      </c>
    </row>
    <row r="276" ht="15.75" customHeight="1" spans="1:34">
      <c r="A276" s="6">
        <v>2024</v>
      </c>
      <c r="B276" s="7">
        <v>0.5</v>
      </c>
      <c r="C276" s="6">
        <v>0.5</v>
      </c>
      <c r="D276" s="6">
        <v>4.35</v>
      </c>
      <c r="E276" s="6">
        <v>0.6</v>
      </c>
      <c r="F276" s="6">
        <v>1.5</v>
      </c>
      <c r="G276" s="6">
        <v>0.1</v>
      </c>
      <c r="H276" s="6">
        <v>0.25</v>
      </c>
      <c r="I276" s="6">
        <v>0</v>
      </c>
      <c r="J276" s="6">
        <v>0.15</v>
      </c>
      <c r="K276" s="6">
        <v>0.05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8">
        <f t="shared" si="11"/>
        <v>92</v>
      </c>
      <c r="U276" s="7">
        <v>495</v>
      </c>
      <c r="V276" s="6">
        <v>150</v>
      </c>
      <c r="W276" s="6">
        <v>1000</v>
      </c>
      <c r="X276" s="6" t="s">
        <v>42</v>
      </c>
      <c r="Y276" s="6" t="s">
        <v>73</v>
      </c>
      <c r="Z276" s="6" t="s">
        <v>37</v>
      </c>
      <c r="AA276" s="6" t="s">
        <v>74</v>
      </c>
      <c r="AB276" s="6" t="s">
        <v>37</v>
      </c>
      <c r="AC276" s="6" t="s">
        <v>43</v>
      </c>
      <c r="AD276" s="26" t="s">
        <v>77</v>
      </c>
      <c r="AE276" s="7">
        <v>457</v>
      </c>
      <c r="AF276" s="6">
        <v>488</v>
      </c>
      <c r="AG276" s="10">
        <v>7</v>
      </c>
      <c r="AH276" s="31" t="s">
        <v>54</v>
      </c>
    </row>
    <row r="277" ht="15.75" customHeight="1" spans="1:34">
      <c r="A277" s="6">
        <v>2024</v>
      </c>
      <c r="B277" s="7">
        <v>0.5</v>
      </c>
      <c r="C277" s="6">
        <v>0.5</v>
      </c>
      <c r="D277" s="6">
        <v>4.35</v>
      </c>
      <c r="E277" s="6">
        <v>0.6</v>
      </c>
      <c r="F277" s="6">
        <v>1.5</v>
      </c>
      <c r="G277" s="6">
        <v>0.1</v>
      </c>
      <c r="H277" s="6">
        <v>0.25</v>
      </c>
      <c r="I277" s="6">
        <v>0</v>
      </c>
      <c r="J277" s="6">
        <v>0.15</v>
      </c>
      <c r="K277" s="6">
        <v>0.05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8">
        <f t="shared" si="11"/>
        <v>92</v>
      </c>
      <c r="U277" s="7">
        <v>495</v>
      </c>
      <c r="V277" s="6">
        <v>190</v>
      </c>
      <c r="W277" s="6">
        <v>8</v>
      </c>
      <c r="X277" s="6" t="s">
        <v>42</v>
      </c>
      <c r="Y277" s="6" t="s">
        <v>73</v>
      </c>
      <c r="Z277" s="6" t="s">
        <v>114</v>
      </c>
      <c r="AA277" s="6" t="s">
        <v>74</v>
      </c>
      <c r="AB277" s="6" t="s">
        <v>37</v>
      </c>
      <c r="AC277" s="6" t="s">
        <v>43</v>
      </c>
      <c r="AD277" s="26" t="s">
        <v>115</v>
      </c>
      <c r="AE277" s="7">
        <v>440</v>
      </c>
      <c r="AF277" s="6">
        <v>488</v>
      </c>
      <c r="AG277" s="10">
        <v>3.5</v>
      </c>
      <c r="AH277" s="31" t="s">
        <v>54</v>
      </c>
    </row>
    <row r="278" ht="15.75" customHeight="1" spans="1:34">
      <c r="A278" s="6">
        <v>2024</v>
      </c>
      <c r="B278" s="7">
        <v>0.5</v>
      </c>
      <c r="C278" s="6">
        <v>0.5</v>
      </c>
      <c r="D278" s="6">
        <v>4.35</v>
      </c>
      <c r="E278" s="6">
        <v>0.6</v>
      </c>
      <c r="F278" s="6">
        <v>1.5</v>
      </c>
      <c r="G278" s="6">
        <v>0.1</v>
      </c>
      <c r="H278" s="6">
        <v>0.25</v>
      </c>
      <c r="I278" s="6">
        <v>0</v>
      </c>
      <c r="J278" s="6">
        <v>0.15</v>
      </c>
      <c r="K278" s="6">
        <v>0.05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8">
        <f t="shared" si="11"/>
        <v>92</v>
      </c>
      <c r="U278" s="7">
        <v>495</v>
      </c>
      <c r="V278" s="6">
        <v>190</v>
      </c>
      <c r="W278" s="6">
        <v>8</v>
      </c>
      <c r="X278" s="6" t="s">
        <v>42</v>
      </c>
      <c r="Y278" s="6" t="s">
        <v>73</v>
      </c>
      <c r="Z278" s="6" t="s">
        <v>114</v>
      </c>
      <c r="AA278" s="6" t="s">
        <v>74</v>
      </c>
      <c r="AB278" s="6" t="s">
        <v>37</v>
      </c>
      <c r="AC278" s="6" t="s">
        <v>59</v>
      </c>
      <c r="AD278" s="26" t="s">
        <v>115</v>
      </c>
      <c r="AE278" s="7">
        <v>440</v>
      </c>
      <c r="AF278" s="6">
        <v>485</v>
      </c>
      <c r="AG278" s="10">
        <v>4</v>
      </c>
      <c r="AH278" s="31" t="s">
        <v>54</v>
      </c>
    </row>
    <row r="279" ht="13.9" spans="1:34">
      <c r="A279" s="6">
        <v>2024</v>
      </c>
      <c r="B279" s="7">
        <v>0.5</v>
      </c>
      <c r="C279" s="6">
        <v>0.5</v>
      </c>
      <c r="D279" s="6">
        <v>4.35</v>
      </c>
      <c r="E279" s="6">
        <v>0.6</v>
      </c>
      <c r="F279" s="6">
        <v>1.5</v>
      </c>
      <c r="G279" s="6">
        <v>0.1</v>
      </c>
      <c r="H279" s="6">
        <v>0.25</v>
      </c>
      <c r="I279" s="6">
        <v>0</v>
      </c>
      <c r="J279" s="6">
        <v>0.15</v>
      </c>
      <c r="K279" s="6">
        <v>0.05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8">
        <f t="shared" si="11"/>
        <v>92</v>
      </c>
      <c r="U279" s="7">
        <v>495</v>
      </c>
      <c r="V279" s="6">
        <v>205</v>
      </c>
      <c r="W279" s="6">
        <v>3</v>
      </c>
      <c r="X279" s="6" t="s">
        <v>42</v>
      </c>
      <c r="Y279" s="6" t="s">
        <v>73</v>
      </c>
      <c r="Z279" s="6" t="s">
        <v>37</v>
      </c>
      <c r="AA279" s="6" t="s">
        <v>74</v>
      </c>
      <c r="AB279" s="6" t="s">
        <v>37</v>
      </c>
      <c r="AC279" s="6" t="s">
        <v>43</v>
      </c>
      <c r="AD279" s="26" t="s">
        <v>77</v>
      </c>
      <c r="AE279" s="7">
        <v>433</v>
      </c>
      <c r="AF279" s="6">
        <v>480</v>
      </c>
      <c r="AG279" s="10">
        <v>8</v>
      </c>
      <c r="AH279" s="31" t="s">
        <v>54</v>
      </c>
    </row>
    <row r="280" ht="13.9" spans="1:34">
      <c r="A280" s="6">
        <v>2024</v>
      </c>
      <c r="B280" s="7">
        <v>0.5</v>
      </c>
      <c r="C280" s="6">
        <v>0.5</v>
      </c>
      <c r="D280" s="6">
        <v>4.35</v>
      </c>
      <c r="E280" s="6">
        <v>0.6</v>
      </c>
      <c r="F280" s="6">
        <v>1.5</v>
      </c>
      <c r="G280" s="6">
        <v>0.1</v>
      </c>
      <c r="H280" s="6">
        <v>0.25</v>
      </c>
      <c r="I280" s="6">
        <v>0</v>
      </c>
      <c r="J280" s="6">
        <v>0.15</v>
      </c>
      <c r="K280" s="6">
        <v>0.05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8">
        <f t="shared" si="11"/>
        <v>92</v>
      </c>
      <c r="U280" s="7">
        <v>495</v>
      </c>
      <c r="V280" s="6">
        <v>25</v>
      </c>
      <c r="W280" s="6">
        <v>0</v>
      </c>
      <c r="X280" s="6" t="s">
        <v>42</v>
      </c>
      <c r="Y280" s="6" t="s">
        <v>73</v>
      </c>
      <c r="Z280" s="6" t="s">
        <v>114</v>
      </c>
      <c r="AA280" s="6" t="s">
        <v>80</v>
      </c>
      <c r="AB280" s="6" t="s">
        <v>37</v>
      </c>
      <c r="AC280" s="6" t="s">
        <v>43</v>
      </c>
      <c r="AD280" s="26" t="s">
        <v>116</v>
      </c>
      <c r="AE280" s="7">
        <v>363</v>
      </c>
      <c r="AF280" s="6">
        <v>475</v>
      </c>
      <c r="AG280" s="34">
        <v>10</v>
      </c>
      <c r="AH280" s="31" t="s">
        <v>54</v>
      </c>
    </row>
    <row r="281" ht="13.9" spans="1:34">
      <c r="A281" s="6">
        <v>2024</v>
      </c>
      <c r="B281" s="7">
        <v>0.5</v>
      </c>
      <c r="C281" s="6">
        <v>0.5</v>
      </c>
      <c r="D281" s="6">
        <v>4.35</v>
      </c>
      <c r="E281" s="6">
        <v>0.6</v>
      </c>
      <c r="F281" s="6">
        <v>1.5</v>
      </c>
      <c r="G281" s="6">
        <v>0.1</v>
      </c>
      <c r="H281" s="6">
        <v>0.25</v>
      </c>
      <c r="I281" s="6">
        <v>0</v>
      </c>
      <c r="J281" s="6">
        <v>0.15</v>
      </c>
      <c r="K281" s="6">
        <v>0.05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8">
        <f t="shared" si="11"/>
        <v>92</v>
      </c>
      <c r="U281" s="7">
        <v>495</v>
      </c>
      <c r="V281" s="6">
        <v>25</v>
      </c>
      <c r="W281" s="6">
        <v>0</v>
      </c>
      <c r="X281" s="6" t="s">
        <v>42</v>
      </c>
      <c r="Y281" s="6" t="s">
        <v>73</v>
      </c>
      <c r="Z281" s="6" t="s">
        <v>114</v>
      </c>
      <c r="AA281" s="6" t="s">
        <v>80</v>
      </c>
      <c r="AB281" s="6" t="s">
        <v>37</v>
      </c>
      <c r="AC281" s="6" t="s">
        <v>51</v>
      </c>
      <c r="AD281" s="26" t="s">
        <v>116</v>
      </c>
      <c r="AE281" s="7">
        <v>360</v>
      </c>
      <c r="AF281" s="6">
        <v>475</v>
      </c>
      <c r="AG281" s="10">
        <v>10</v>
      </c>
      <c r="AH281" s="31" t="s">
        <v>54</v>
      </c>
    </row>
    <row r="282" ht="13.9" spans="1:34">
      <c r="A282" s="6">
        <v>2024</v>
      </c>
      <c r="B282" s="7">
        <v>0.5</v>
      </c>
      <c r="C282" s="6">
        <v>0.5</v>
      </c>
      <c r="D282" s="6">
        <v>4.35</v>
      </c>
      <c r="E282" s="6">
        <v>0.6</v>
      </c>
      <c r="F282" s="6">
        <v>1.5</v>
      </c>
      <c r="G282" s="6">
        <v>0.1</v>
      </c>
      <c r="H282" s="6">
        <v>0.25</v>
      </c>
      <c r="I282" s="6">
        <v>0</v>
      </c>
      <c r="J282" s="6">
        <v>0.15</v>
      </c>
      <c r="K282" s="6">
        <v>0.05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8">
        <f t="shared" si="11"/>
        <v>92</v>
      </c>
      <c r="U282" s="7">
        <v>495</v>
      </c>
      <c r="V282" s="6">
        <v>25</v>
      </c>
      <c r="W282" s="6">
        <v>0</v>
      </c>
      <c r="X282" s="6" t="s">
        <v>42</v>
      </c>
      <c r="Y282" s="6" t="s">
        <v>73</v>
      </c>
      <c r="Z282" s="6" t="s">
        <v>114</v>
      </c>
      <c r="AA282" s="6" t="s">
        <v>80</v>
      </c>
      <c r="AB282" s="6" t="s">
        <v>37</v>
      </c>
      <c r="AC282" s="6" t="s">
        <v>69</v>
      </c>
      <c r="AD282" s="26" t="s">
        <v>116</v>
      </c>
      <c r="AE282" s="7">
        <v>360</v>
      </c>
      <c r="AF282" s="6">
        <v>475</v>
      </c>
      <c r="AG282" s="34">
        <v>10</v>
      </c>
      <c r="AH282" s="31" t="s">
        <v>54</v>
      </c>
    </row>
    <row r="283" ht="13.9" spans="1:34">
      <c r="A283" s="6">
        <v>2024</v>
      </c>
      <c r="B283" s="7">
        <v>0.5</v>
      </c>
      <c r="C283" s="6">
        <v>0.5</v>
      </c>
      <c r="D283" s="6">
        <v>4.35</v>
      </c>
      <c r="E283" s="6">
        <v>0.6</v>
      </c>
      <c r="F283" s="6">
        <v>1.5</v>
      </c>
      <c r="G283" s="6">
        <v>0.1</v>
      </c>
      <c r="H283" s="6">
        <v>0.25</v>
      </c>
      <c r="I283" s="6">
        <v>0</v>
      </c>
      <c r="J283" s="6">
        <v>0.15</v>
      </c>
      <c r="K283" s="6">
        <v>0.05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8">
        <f t="shared" si="11"/>
        <v>92</v>
      </c>
      <c r="U283" s="7">
        <v>495</v>
      </c>
      <c r="V283" s="6">
        <v>25</v>
      </c>
      <c r="W283" s="6">
        <v>0</v>
      </c>
      <c r="X283" s="6" t="s">
        <v>42</v>
      </c>
      <c r="Y283" s="6" t="s">
        <v>73</v>
      </c>
      <c r="Z283" s="6" t="s">
        <v>114</v>
      </c>
      <c r="AA283" s="6" t="s">
        <v>80</v>
      </c>
      <c r="AB283" s="6" t="s">
        <v>37</v>
      </c>
      <c r="AC283" s="6" t="s">
        <v>38</v>
      </c>
      <c r="AD283" s="26" t="s">
        <v>116</v>
      </c>
      <c r="AE283" s="7">
        <v>360</v>
      </c>
      <c r="AF283" s="6">
        <v>475</v>
      </c>
      <c r="AG283" s="10">
        <v>10</v>
      </c>
      <c r="AH283" s="31" t="s">
        <v>54</v>
      </c>
    </row>
    <row r="284" ht="13.9" spans="1:34">
      <c r="A284" s="6">
        <v>2024</v>
      </c>
      <c r="B284" s="7">
        <v>0.5</v>
      </c>
      <c r="C284" s="6">
        <v>0.5</v>
      </c>
      <c r="D284" s="6">
        <v>4.35</v>
      </c>
      <c r="E284" s="6">
        <v>0.6</v>
      </c>
      <c r="F284" s="6">
        <v>1.5</v>
      </c>
      <c r="G284" s="6">
        <v>0.1</v>
      </c>
      <c r="H284" s="6">
        <v>0.25</v>
      </c>
      <c r="I284" s="6">
        <v>0</v>
      </c>
      <c r="J284" s="6">
        <v>0.15</v>
      </c>
      <c r="K284" s="6">
        <v>0.05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8">
        <f t="shared" si="11"/>
        <v>92</v>
      </c>
      <c r="U284" s="7">
        <v>495</v>
      </c>
      <c r="V284" s="6">
        <v>25</v>
      </c>
      <c r="W284" s="6">
        <v>0</v>
      </c>
      <c r="X284" s="6" t="s">
        <v>42</v>
      </c>
      <c r="Y284" s="6" t="s">
        <v>73</v>
      </c>
      <c r="Z284" s="6" t="s">
        <v>84</v>
      </c>
      <c r="AA284" s="6" t="s">
        <v>80</v>
      </c>
      <c r="AB284" s="6" t="s">
        <v>37</v>
      </c>
      <c r="AC284" s="6" t="s">
        <v>43</v>
      </c>
      <c r="AD284" s="26" t="s">
        <v>111</v>
      </c>
      <c r="AE284" s="7">
        <v>325</v>
      </c>
      <c r="AF284" s="6">
        <v>470</v>
      </c>
      <c r="AG284" s="34">
        <v>20</v>
      </c>
      <c r="AH284" s="31" t="s">
        <v>54</v>
      </c>
    </row>
    <row r="285" ht="13.9" spans="1:34">
      <c r="A285" s="6">
        <v>2024</v>
      </c>
      <c r="B285" s="7">
        <v>0.5</v>
      </c>
      <c r="C285" s="6">
        <v>0.5</v>
      </c>
      <c r="D285" s="6">
        <v>4.35</v>
      </c>
      <c r="E285" s="6">
        <v>0.6</v>
      </c>
      <c r="F285" s="6">
        <v>1.5</v>
      </c>
      <c r="G285" s="6">
        <v>0.1</v>
      </c>
      <c r="H285" s="6">
        <v>0.25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8">
        <f t="shared" si="11"/>
        <v>92.2</v>
      </c>
      <c r="U285" s="7">
        <v>493</v>
      </c>
      <c r="V285" s="6">
        <v>25</v>
      </c>
      <c r="W285" s="6">
        <v>0</v>
      </c>
      <c r="X285" s="6" t="s">
        <v>42</v>
      </c>
      <c r="Y285" s="6" t="s">
        <v>73</v>
      </c>
      <c r="Z285" s="6" t="s">
        <v>37</v>
      </c>
      <c r="AA285" s="6" t="s">
        <v>80</v>
      </c>
      <c r="AB285" s="6" t="s">
        <v>37</v>
      </c>
      <c r="AC285" s="6" t="s">
        <v>59</v>
      </c>
      <c r="AD285" s="26" t="s">
        <v>86</v>
      </c>
      <c r="AE285" s="7">
        <v>324</v>
      </c>
      <c r="AF285" s="6">
        <v>469</v>
      </c>
      <c r="AG285" s="10">
        <v>19</v>
      </c>
      <c r="AH285" s="31" t="s">
        <v>54</v>
      </c>
    </row>
    <row r="286" ht="13.9" spans="1:34">
      <c r="A286" s="6">
        <v>2024</v>
      </c>
      <c r="B286" s="7">
        <v>0.5</v>
      </c>
      <c r="C286" s="6">
        <v>0.5</v>
      </c>
      <c r="D286" s="6">
        <v>4.35</v>
      </c>
      <c r="E286" s="6">
        <v>0.6</v>
      </c>
      <c r="F286" s="6">
        <v>1.5</v>
      </c>
      <c r="G286" s="6">
        <v>0.1</v>
      </c>
      <c r="H286" s="6">
        <v>0.25</v>
      </c>
      <c r="I286" s="6">
        <v>0</v>
      </c>
      <c r="J286" s="6">
        <v>0.15</v>
      </c>
      <c r="K286" s="6">
        <v>0.05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8">
        <f t="shared" si="11"/>
        <v>92</v>
      </c>
      <c r="U286" s="7">
        <v>495</v>
      </c>
      <c r="V286" s="6">
        <v>25</v>
      </c>
      <c r="W286" s="6">
        <v>0</v>
      </c>
      <c r="X286" s="6" t="s">
        <v>42</v>
      </c>
      <c r="Y286" s="6" t="s">
        <v>73</v>
      </c>
      <c r="Z286" s="6" t="s">
        <v>79</v>
      </c>
      <c r="AA286" s="6" t="s">
        <v>80</v>
      </c>
      <c r="AB286" s="6" t="s">
        <v>37</v>
      </c>
      <c r="AC286" s="6" t="s">
        <v>43</v>
      </c>
      <c r="AD286" s="26" t="s">
        <v>81</v>
      </c>
      <c r="AE286" s="7">
        <v>318</v>
      </c>
      <c r="AF286" s="6">
        <v>461</v>
      </c>
      <c r="AG286" s="34">
        <v>15.6</v>
      </c>
      <c r="AH286" s="31" t="s">
        <v>54</v>
      </c>
    </row>
    <row r="287" ht="13.9" spans="1:34">
      <c r="A287" s="6">
        <v>2024</v>
      </c>
      <c r="B287" s="7">
        <v>0.5</v>
      </c>
      <c r="C287" s="6">
        <v>0.5</v>
      </c>
      <c r="D287" s="6">
        <v>4.35</v>
      </c>
      <c r="E287" s="6">
        <v>0.6</v>
      </c>
      <c r="F287" s="6">
        <v>1.5</v>
      </c>
      <c r="G287" s="6">
        <v>0.1</v>
      </c>
      <c r="H287" s="6">
        <v>0.25</v>
      </c>
      <c r="I287" s="6">
        <v>0</v>
      </c>
      <c r="J287" s="6">
        <v>0.15</v>
      </c>
      <c r="K287" s="6">
        <v>0.05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8">
        <f t="shared" si="11"/>
        <v>92</v>
      </c>
      <c r="U287" s="7">
        <v>495</v>
      </c>
      <c r="V287" s="6">
        <v>190</v>
      </c>
      <c r="W287" s="6">
        <v>12</v>
      </c>
      <c r="X287" s="6" t="s">
        <v>42</v>
      </c>
      <c r="Y287" s="6" t="s">
        <v>73</v>
      </c>
      <c r="Z287" s="6" t="s">
        <v>84</v>
      </c>
      <c r="AA287" s="6" t="s">
        <v>74</v>
      </c>
      <c r="AB287" s="6" t="s">
        <v>37</v>
      </c>
      <c r="AC287" s="6" t="s">
        <v>59</v>
      </c>
      <c r="AD287" s="26" t="s">
        <v>117</v>
      </c>
      <c r="AE287" s="7">
        <v>398</v>
      </c>
      <c r="AF287" s="6">
        <v>457</v>
      </c>
      <c r="AG287" s="34">
        <v>5</v>
      </c>
      <c r="AH287" s="31" t="s">
        <v>54</v>
      </c>
    </row>
    <row r="288" ht="13.9" spans="1:34">
      <c r="A288" s="6">
        <v>2024</v>
      </c>
      <c r="B288" s="7">
        <v>0.5</v>
      </c>
      <c r="C288" s="6">
        <v>0.5</v>
      </c>
      <c r="D288" s="6">
        <v>4.35</v>
      </c>
      <c r="E288" s="6">
        <v>0.6</v>
      </c>
      <c r="F288" s="6">
        <v>1.5</v>
      </c>
      <c r="G288" s="6">
        <v>0.1</v>
      </c>
      <c r="H288" s="6">
        <v>0.25</v>
      </c>
      <c r="I288" s="6">
        <v>0</v>
      </c>
      <c r="J288" s="6">
        <v>0.15</v>
      </c>
      <c r="K288" s="6">
        <v>0.05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8">
        <f t="shared" si="11"/>
        <v>92</v>
      </c>
      <c r="U288" s="7">
        <v>495</v>
      </c>
      <c r="V288" s="6">
        <v>190</v>
      </c>
      <c r="W288" s="6">
        <v>12</v>
      </c>
      <c r="X288" s="6" t="s">
        <v>44</v>
      </c>
      <c r="Y288" s="6" t="s">
        <v>73</v>
      </c>
      <c r="Z288" s="6" t="s">
        <v>84</v>
      </c>
      <c r="AA288" s="6" t="s">
        <v>74</v>
      </c>
      <c r="AB288" s="6" t="s">
        <v>37</v>
      </c>
      <c r="AC288" s="6" t="s">
        <v>51</v>
      </c>
      <c r="AD288" s="26" t="s">
        <v>117</v>
      </c>
      <c r="AE288" s="7">
        <v>400</v>
      </c>
      <c r="AF288" s="6">
        <v>455</v>
      </c>
      <c r="AG288" s="10">
        <v>5</v>
      </c>
      <c r="AH288" s="31" t="s">
        <v>54</v>
      </c>
    </row>
    <row r="289" ht="13.9" spans="1:34">
      <c r="A289" s="6">
        <v>2024</v>
      </c>
      <c r="B289" s="7">
        <v>0.5</v>
      </c>
      <c r="C289" s="6">
        <v>0.5</v>
      </c>
      <c r="D289" s="6">
        <v>4.35</v>
      </c>
      <c r="E289" s="6">
        <v>0.6</v>
      </c>
      <c r="F289" s="6">
        <v>1.5</v>
      </c>
      <c r="G289" s="6">
        <v>0.1</v>
      </c>
      <c r="H289" s="6">
        <v>0.25</v>
      </c>
      <c r="I289" s="6">
        <v>0</v>
      </c>
      <c r="J289" s="6">
        <v>0.15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8">
        <f t="shared" si="11"/>
        <v>92.05</v>
      </c>
      <c r="U289" s="7">
        <v>495</v>
      </c>
      <c r="V289" s="6">
        <v>190</v>
      </c>
      <c r="W289" s="6">
        <v>12</v>
      </c>
      <c r="X289" s="6" t="s">
        <v>42</v>
      </c>
      <c r="Y289" s="6" t="s">
        <v>73</v>
      </c>
      <c r="Z289" s="6" t="s">
        <v>84</v>
      </c>
      <c r="AA289" s="6" t="s">
        <v>74</v>
      </c>
      <c r="AB289" s="6" t="s">
        <v>37</v>
      </c>
      <c r="AC289" s="6" t="s">
        <v>59</v>
      </c>
      <c r="AD289" s="26" t="s">
        <v>117</v>
      </c>
      <c r="AE289" s="7">
        <v>400</v>
      </c>
      <c r="AF289" s="6">
        <v>455</v>
      </c>
      <c r="AG289" s="10">
        <v>5</v>
      </c>
      <c r="AH289" s="31" t="s">
        <v>54</v>
      </c>
    </row>
    <row r="290" ht="13.9" spans="1:34">
      <c r="A290" s="6">
        <v>2024</v>
      </c>
      <c r="B290" s="7">
        <v>0.5</v>
      </c>
      <c r="C290" s="6">
        <v>0.5</v>
      </c>
      <c r="D290" s="6">
        <v>4.35</v>
      </c>
      <c r="E290" s="6">
        <v>0.6</v>
      </c>
      <c r="F290" s="6">
        <v>1.5</v>
      </c>
      <c r="G290" s="6">
        <v>0.1</v>
      </c>
      <c r="H290" s="6">
        <v>0.25</v>
      </c>
      <c r="I290" s="6">
        <v>0</v>
      </c>
      <c r="J290" s="6">
        <v>0.15</v>
      </c>
      <c r="K290" s="6">
        <v>0.05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8">
        <f t="shared" si="11"/>
        <v>92</v>
      </c>
      <c r="U290" s="7">
        <v>495</v>
      </c>
      <c r="V290" s="6">
        <v>190</v>
      </c>
      <c r="W290" s="6">
        <v>12</v>
      </c>
      <c r="X290" s="6" t="s">
        <v>42</v>
      </c>
      <c r="Y290" s="6" t="s">
        <v>73</v>
      </c>
      <c r="Z290" s="6" t="s">
        <v>84</v>
      </c>
      <c r="AA290" s="6" t="s">
        <v>74</v>
      </c>
      <c r="AB290" s="6" t="s">
        <v>37</v>
      </c>
      <c r="AC290" s="6" t="s">
        <v>51</v>
      </c>
      <c r="AD290" s="26" t="s">
        <v>117</v>
      </c>
      <c r="AE290" s="7">
        <v>400</v>
      </c>
      <c r="AF290" s="6">
        <v>455</v>
      </c>
      <c r="AG290" s="10">
        <v>5</v>
      </c>
      <c r="AH290" s="31" t="s">
        <v>54</v>
      </c>
    </row>
    <row r="291" ht="13.9" spans="1:34">
      <c r="A291" s="6">
        <v>2024</v>
      </c>
      <c r="B291" s="7">
        <v>0.5</v>
      </c>
      <c r="C291" s="6">
        <v>0.5</v>
      </c>
      <c r="D291" s="6">
        <v>4.35</v>
      </c>
      <c r="E291" s="6">
        <v>0.6</v>
      </c>
      <c r="F291" s="6">
        <v>1.5</v>
      </c>
      <c r="G291" s="6">
        <v>0.1</v>
      </c>
      <c r="H291" s="6">
        <v>0.25</v>
      </c>
      <c r="I291" s="6">
        <v>0</v>
      </c>
      <c r="J291" s="6">
        <v>0.15</v>
      </c>
      <c r="K291" s="6">
        <v>0.05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8">
        <v>92</v>
      </c>
      <c r="U291" s="7">
        <v>495</v>
      </c>
      <c r="V291" s="6">
        <v>190</v>
      </c>
      <c r="W291" s="6">
        <v>12</v>
      </c>
      <c r="X291" s="6" t="s">
        <v>44</v>
      </c>
      <c r="Y291" s="6" t="s">
        <v>73</v>
      </c>
      <c r="Z291" s="6" t="s">
        <v>84</v>
      </c>
      <c r="AA291" s="6" t="s">
        <v>74</v>
      </c>
      <c r="AB291" s="6" t="s">
        <v>37</v>
      </c>
      <c r="AC291" s="6" t="s">
        <v>69</v>
      </c>
      <c r="AD291" s="26" t="s">
        <v>117</v>
      </c>
      <c r="AE291" s="7">
        <v>400</v>
      </c>
      <c r="AF291" s="6">
        <v>455</v>
      </c>
      <c r="AG291" s="34">
        <v>5</v>
      </c>
      <c r="AH291" s="31" t="s">
        <v>54</v>
      </c>
    </row>
    <row r="292" ht="13.9" spans="1:34">
      <c r="A292" s="6">
        <v>2024</v>
      </c>
      <c r="B292" s="7">
        <v>0.5</v>
      </c>
      <c r="C292" s="6">
        <v>0.5</v>
      </c>
      <c r="D292" s="6">
        <v>4.35</v>
      </c>
      <c r="E292" s="6">
        <v>0.6</v>
      </c>
      <c r="F292" s="6">
        <v>1.5</v>
      </c>
      <c r="G292" s="6">
        <v>0.1</v>
      </c>
      <c r="H292" s="6">
        <v>0.25</v>
      </c>
      <c r="I292" s="6">
        <v>0</v>
      </c>
      <c r="J292" s="6">
        <v>0.15</v>
      </c>
      <c r="K292" s="6">
        <v>0.05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8">
        <v>92</v>
      </c>
      <c r="U292" s="7">
        <v>495</v>
      </c>
      <c r="V292" s="6">
        <v>190</v>
      </c>
      <c r="W292" s="6">
        <v>12</v>
      </c>
      <c r="X292" s="6" t="s">
        <v>44</v>
      </c>
      <c r="Y292" s="6" t="s">
        <v>73</v>
      </c>
      <c r="Z292" s="6" t="s">
        <v>84</v>
      </c>
      <c r="AA292" s="6" t="s">
        <v>74</v>
      </c>
      <c r="AB292" s="6" t="s">
        <v>37</v>
      </c>
      <c r="AC292" s="6" t="s">
        <v>45</v>
      </c>
      <c r="AD292" s="26" t="s">
        <v>117</v>
      </c>
      <c r="AE292" s="7">
        <v>400</v>
      </c>
      <c r="AF292" s="6">
        <v>455</v>
      </c>
      <c r="AG292" s="34">
        <v>5</v>
      </c>
      <c r="AH292" s="31" t="s">
        <v>54</v>
      </c>
    </row>
    <row r="293" ht="13.9" spans="1:34">
      <c r="A293" s="6">
        <v>2024</v>
      </c>
      <c r="B293" s="7">
        <v>0.5</v>
      </c>
      <c r="C293" s="6">
        <v>0.5</v>
      </c>
      <c r="D293" s="6">
        <v>4.35</v>
      </c>
      <c r="E293" s="6">
        <v>0.6</v>
      </c>
      <c r="F293" s="6">
        <v>1.5</v>
      </c>
      <c r="G293" s="6">
        <v>0.1</v>
      </c>
      <c r="H293" s="6">
        <v>0.25</v>
      </c>
      <c r="I293" s="6">
        <v>0</v>
      </c>
      <c r="J293" s="6">
        <v>0.15</v>
      </c>
      <c r="K293" s="6">
        <v>0.05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8">
        <f t="shared" ref="T293:T298" si="12">100-SUM(B293:S293)</f>
        <v>92</v>
      </c>
      <c r="U293" s="7">
        <v>495</v>
      </c>
      <c r="V293" s="6">
        <v>190</v>
      </c>
      <c r="W293" s="6">
        <v>12</v>
      </c>
      <c r="X293" s="6" t="s">
        <v>42</v>
      </c>
      <c r="Y293" s="6" t="s">
        <v>73</v>
      </c>
      <c r="Z293" s="6" t="s">
        <v>84</v>
      </c>
      <c r="AA293" s="6" t="s">
        <v>74</v>
      </c>
      <c r="AB293" s="6" t="s">
        <v>37</v>
      </c>
      <c r="AC293" s="6" t="s">
        <v>69</v>
      </c>
      <c r="AD293" s="26" t="s">
        <v>117</v>
      </c>
      <c r="AE293" s="7">
        <v>400</v>
      </c>
      <c r="AF293" s="6">
        <v>455</v>
      </c>
      <c r="AG293" s="34">
        <v>5</v>
      </c>
      <c r="AH293" s="31" t="s">
        <v>54</v>
      </c>
    </row>
    <row r="294" ht="13.9" spans="1:34">
      <c r="A294" s="6">
        <v>2024</v>
      </c>
      <c r="B294" s="7">
        <v>0.5</v>
      </c>
      <c r="C294" s="6">
        <v>0.5</v>
      </c>
      <c r="D294" s="6">
        <v>4.35</v>
      </c>
      <c r="E294" s="6">
        <v>0.6</v>
      </c>
      <c r="F294" s="6">
        <v>1.5</v>
      </c>
      <c r="G294" s="6">
        <v>0.1</v>
      </c>
      <c r="H294" s="6">
        <v>0.25</v>
      </c>
      <c r="I294" s="6">
        <v>0</v>
      </c>
      <c r="J294" s="6">
        <v>0.15</v>
      </c>
      <c r="K294" s="6">
        <v>0.05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8">
        <f t="shared" si="12"/>
        <v>92</v>
      </c>
      <c r="U294" s="7">
        <v>495</v>
      </c>
      <c r="V294" s="6">
        <v>190</v>
      </c>
      <c r="W294" s="6">
        <v>12</v>
      </c>
      <c r="X294" s="6" t="s">
        <v>42</v>
      </c>
      <c r="Y294" s="6" t="s">
        <v>73</v>
      </c>
      <c r="Z294" s="6" t="s">
        <v>84</v>
      </c>
      <c r="AA294" s="6" t="s">
        <v>74</v>
      </c>
      <c r="AB294" s="6" t="s">
        <v>37</v>
      </c>
      <c r="AC294" s="6" t="s">
        <v>38</v>
      </c>
      <c r="AD294" s="26" t="s">
        <v>117</v>
      </c>
      <c r="AE294" s="7">
        <v>400</v>
      </c>
      <c r="AF294" s="6">
        <v>455</v>
      </c>
      <c r="AG294" s="34">
        <v>5</v>
      </c>
      <c r="AH294" s="31" t="s">
        <v>54</v>
      </c>
    </row>
    <row r="295" ht="13.9" spans="1:34">
      <c r="A295" s="6">
        <v>2024</v>
      </c>
      <c r="B295" s="7">
        <v>0.5</v>
      </c>
      <c r="C295" s="6">
        <v>0.5</v>
      </c>
      <c r="D295" s="6">
        <v>4.35</v>
      </c>
      <c r="E295" s="6">
        <v>0.6</v>
      </c>
      <c r="F295" s="6">
        <v>1.5</v>
      </c>
      <c r="G295" s="6">
        <v>0.1</v>
      </c>
      <c r="H295" s="6">
        <v>0.25</v>
      </c>
      <c r="I295" s="6">
        <v>0</v>
      </c>
      <c r="J295" s="6">
        <v>0.15</v>
      </c>
      <c r="K295" s="6">
        <v>0.05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8">
        <f t="shared" si="12"/>
        <v>92</v>
      </c>
      <c r="U295" s="7">
        <v>495</v>
      </c>
      <c r="V295" s="6">
        <v>25</v>
      </c>
      <c r="W295" s="6">
        <v>0</v>
      </c>
      <c r="X295" s="6" t="s">
        <v>42</v>
      </c>
      <c r="Y295" s="6" t="s">
        <v>73</v>
      </c>
      <c r="Z295" s="6" t="s">
        <v>114</v>
      </c>
      <c r="AA295" s="6" t="s">
        <v>80</v>
      </c>
      <c r="AB295" s="6" t="s">
        <v>37</v>
      </c>
      <c r="AC295" s="6" t="s">
        <v>59</v>
      </c>
      <c r="AD295" s="26" t="s">
        <v>116</v>
      </c>
      <c r="AE295" s="7">
        <v>340</v>
      </c>
      <c r="AF295" s="6">
        <v>455</v>
      </c>
      <c r="AG295" s="10">
        <v>9.5</v>
      </c>
      <c r="AH295" s="31" t="s">
        <v>54</v>
      </c>
    </row>
    <row r="296" ht="13.9" spans="1:34">
      <c r="A296" s="6">
        <v>2024</v>
      </c>
      <c r="B296" s="7">
        <v>0.5</v>
      </c>
      <c r="C296" s="6">
        <v>0.5</v>
      </c>
      <c r="D296" s="6">
        <v>4.35</v>
      </c>
      <c r="E296" s="6">
        <v>0.6</v>
      </c>
      <c r="F296" s="6">
        <v>1.5</v>
      </c>
      <c r="G296" s="6">
        <v>0.1</v>
      </c>
      <c r="H296" s="6">
        <v>0.25</v>
      </c>
      <c r="I296" s="6">
        <v>0</v>
      </c>
      <c r="J296" s="6">
        <v>0.15</v>
      </c>
      <c r="K296" s="6">
        <v>0.05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8">
        <f t="shared" si="12"/>
        <v>92</v>
      </c>
      <c r="U296" s="7">
        <v>495</v>
      </c>
      <c r="V296" s="6">
        <v>260</v>
      </c>
      <c r="W296" s="6">
        <v>0.5</v>
      </c>
      <c r="X296" s="6" t="s">
        <v>42</v>
      </c>
      <c r="Y296" s="6" t="s">
        <v>73</v>
      </c>
      <c r="Z296" s="6" t="s">
        <v>37</v>
      </c>
      <c r="AA296" s="6" t="s">
        <v>74</v>
      </c>
      <c r="AB296" s="6" t="s">
        <v>37</v>
      </c>
      <c r="AC296" s="6" t="s">
        <v>43</v>
      </c>
      <c r="AD296" s="26" t="s">
        <v>77</v>
      </c>
      <c r="AE296" s="7">
        <v>396</v>
      </c>
      <c r="AF296" s="6">
        <v>454</v>
      </c>
      <c r="AG296" s="10">
        <v>9</v>
      </c>
      <c r="AH296" s="31" t="s">
        <v>54</v>
      </c>
    </row>
    <row r="297" ht="13.9" spans="1:34">
      <c r="A297" s="6">
        <v>2024</v>
      </c>
      <c r="B297" s="7">
        <v>0.5</v>
      </c>
      <c r="C297" s="6">
        <v>0.5</v>
      </c>
      <c r="D297" s="6">
        <v>4.35</v>
      </c>
      <c r="E297" s="6">
        <v>0.6</v>
      </c>
      <c r="F297" s="6">
        <v>1.5</v>
      </c>
      <c r="G297" s="6">
        <v>0.1</v>
      </c>
      <c r="H297" s="6">
        <v>0.25</v>
      </c>
      <c r="I297" s="6">
        <v>0</v>
      </c>
      <c r="J297" s="6">
        <v>0.15</v>
      </c>
      <c r="K297" s="6">
        <v>0.05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8">
        <f t="shared" si="12"/>
        <v>92</v>
      </c>
      <c r="U297" s="7">
        <v>495</v>
      </c>
      <c r="V297" s="6">
        <v>25</v>
      </c>
      <c r="W297" s="6">
        <v>0</v>
      </c>
      <c r="X297" s="6" t="s">
        <v>42</v>
      </c>
      <c r="Y297" s="6" t="s">
        <v>73</v>
      </c>
      <c r="Z297" s="6" t="s">
        <v>84</v>
      </c>
      <c r="AA297" s="6" t="s">
        <v>80</v>
      </c>
      <c r="AB297" s="6" t="s">
        <v>37</v>
      </c>
      <c r="AC297" s="6" t="s">
        <v>59</v>
      </c>
      <c r="AD297" s="26" t="s">
        <v>111</v>
      </c>
      <c r="AE297" s="7">
        <v>310</v>
      </c>
      <c r="AF297" s="6">
        <v>450</v>
      </c>
      <c r="AG297" s="34">
        <v>8.9</v>
      </c>
      <c r="AH297" s="31" t="s">
        <v>54</v>
      </c>
    </row>
    <row r="298" ht="13.9" spans="1:34">
      <c r="A298" s="6">
        <v>2024</v>
      </c>
      <c r="B298" s="7">
        <v>0.5</v>
      </c>
      <c r="C298" s="6">
        <v>0.5</v>
      </c>
      <c r="D298" s="6">
        <v>4.35</v>
      </c>
      <c r="E298" s="6">
        <v>0.6</v>
      </c>
      <c r="F298" s="6">
        <v>1.5</v>
      </c>
      <c r="G298" s="6">
        <v>0.1</v>
      </c>
      <c r="H298" s="6">
        <v>0.25</v>
      </c>
      <c r="I298" s="6">
        <v>0</v>
      </c>
      <c r="J298" s="6">
        <v>0.15</v>
      </c>
      <c r="K298" s="6">
        <v>0.05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8">
        <f t="shared" si="12"/>
        <v>92</v>
      </c>
      <c r="U298" s="7">
        <v>495</v>
      </c>
      <c r="V298" s="6">
        <v>25</v>
      </c>
      <c r="W298" s="6">
        <v>0</v>
      </c>
      <c r="X298" s="6" t="s">
        <v>44</v>
      </c>
      <c r="Y298" s="6" t="s">
        <v>73</v>
      </c>
      <c r="Z298" s="6" t="s">
        <v>79</v>
      </c>
      <c r="AA298" s="6" t="s">
        <v>80</v>
      </c>
      <c r="AB298" s="6" t="s">
        <v>37</v>
      </c>
      <c r="AC298" s="6" t="s">
        <v>51</v>
      </c>
      <c r="AD298" s="26" t="s">
        <v>81</v>
      </c>
      <c r="AE298" s="7">
        <v>319</v>
      </c>
      <c r="AF298" s="6">
        <v>448</v>
      </c>
      <c r="AG298" s="34">
        <v>10</v>
      </c>
      <c r="AH298" s="31" t="s">
        <v>54</v>
      </c>
    </row>
    <row r="299" ht="13.9" spans="1:34">
      <c r="A299" s="6">
        <v>2024</v>
      </c>
      <c r="B299" s="7">
        <v>0.5</v>
      </c>
      <c r="C299" s="6">
        <v>0.5</v>
      </c>
      <c r="D299" s="6">
        <v>4.35</v>
      </c>
      <c r="E299" s="6">
        <v>0.6</v>
      </c>
      <c r="F299" s="6">
        <v>1.5</v>
      </c>
      <c r="G299" s="6">
        <v>0.1</v>
      </c>
      <c r="H299" s="6">
        <v>0.25</v>
      </c>
      <c r="I299" s="6">
        <v>0</v>
      </c>
      <c r="J299" s="6">
        <v>0.15</v>
      </c>
      <c r="K299" s="6">
        <v>0.05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8">
        <v>92</v>
      </c>
      <c r="U299" s="7">
        <v>495</v>
      </c>
      <c r="V299" s="6">
        <v>25</v>
      </c>
      <c r="W299" s="6">
        <v>0</v>
      </c>
      <c r="X299" s="6" t="s">
        <v>44</v>
      </c>
      <c r="Y299" s="6" t="s">
        <v>73</v>
      </c>
      <c r="Z299" s="6" t="s">
        <v>79</v>
      </c>
      <c r="AA299" s="6" t="s">
        <v>80</v>
      </c>
      <c r="AB299" s="6" t="s">
        <v>37</v>
      </c>
      <c r="AC299" s="6" t="s">
        <v>69</v>
      </c>
      <c r="AD299" s="26" t="s">
        <v>81</v>
      </c>
      <c r="AE299" s="7">
        <v>319</v>
      </c>
      <c r="AF299" s="6">
        <v>448</v>
      </c>
      <c r="AG299" s="34">
        <v>10</v>
      </c>
      <c r="AH299" s="31" t="s">
        <v>54</v>
      </c>
    </row>
    <row r="300" ht="13.9" spans="1:34">
      <c r="A300" s="6">
        <v>2024</v>
      </c>
      <c r="B300" s="7">
        <v>0.5</v>
      </c>
      <c r="C300" s="6">
        <v>0.5</v>
      </c>
      <c r="D300" s="6">
        <v>4.35</v>
      </c>
      <c r="E300" s="6">
        <v>0.6</v>
      </c>
      <c r="F300" s="6">
        <v>1.5</v>
      </c>
      <c r="G300" s="6">
        <v>0.1</v>
      </c>
      <c r="H300" s="6">
        <v>0.25</v>
      </c>
      <c r="I300" s="6">
        <v>0</v>
      </c>
      <c r="J300" s="6">
        <v>0.15</v>
      </c>
      <c r="K300" s="6">
        <v>0.05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8">
        <v>92</v>
      </c>
      <c r="U300" s="7">
        <v>495</v>
      </c>
      <c r="V300" s="6">
        <v>25</v>
      </c>
      <c r="W300" s="6">
        <v>0</v>
      </c>
      <c r="X300" s="6" t="s">
        <v>44</v>
      </c>
      <c r="Y300" s="6" t="s">
        <v>73</v>
      </c>
      <c r="Z300" s="6" t="s">
        <v>79</v>
      </c>
      <c r="AA300" s="6" t="s">
        <v>80</v>
      </c>
      <c r="AB300" s="6" t="s">
        <v>37</v>
      </c>
      <c r="AC300" s="6" t="s">
        <v>45</v>
      </c>
      <c r="AD300" s="26" t="s">
        <v>81</v>
      </c>
      <c r="AE300" s="7">
        <v>319</v>
      </c>
      <c r="AF300" s="6">
        <v>448</v>
      </c>
      <c r="AG300" s="34">
        <v>10</v>
      </c>
      <c r="AH300" s="31" t="s">
        <v>54</v>
      </c>
    </row>
    <row r="301" ht="13.9" spans="1:34">
      <c r="A301" s="6">
        <v>2024</v>
      </c>
      <c r="B301" s="7">
        <v>0.5</v>
      </c>
      <c r="C301" s="6">
        <v>0.5</v>
      </c>
      <c r="D301" s="6">
        <v>4.35</v>
      </c>
      <c r="E301" s="6">
        <v>0.6</v>
      </c>
      <c r="F301" s="6">
        <v>1.5</v>
      </c>
      <c r="G301" s="6">
        <v>0.1</v>
      </c>
      <c r="H301" s="6">
        <v>0.25</v>
      </c>
      <c r="I301" s="6">
        <v>0</v>
      </c>
      <c r="J301" s="6">
        <v>0.15</v>
      </c>
      <c r="K301" s="6">
        <v>0.05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8">
        <f>100-SUM(B301:S301)</f>
        <v>92</v>
      </c>
      <c r="U301" s="7">
        <v>495</v>
      </c>
      <c r="V301" s="6">
        <v>190</v>
      </c>
      <c r="W301" s="6">
        <v>12</v>
      </c>
      <c r="X301" s="6" t="s">
        <v>42</v>
      </c>
      <c r="Y301" s="6" t="s">
        <v>73</v>
      </c>
      <c r="Z301" s="6" t="s">
        <v>79</v>
      </c>
      <c r="AA301" s="6" t="s">
        <v>74</v>
      </c>
      <c r="AB301" s="6" t="s">
        <v>37</v>
      </c>
      <c r="AC301" s="6" t="s">
        <v>43</v>
      </c>
      <c r="AD301" s="26" t="s">
        <v>83</v>
      </c>
      <c r="AE301" s="7">
        <v>385</v>
      </c>
      <c r="AF301" s="6">
        <v>445</v>
      </c>
      <c r="AG301" s="34">
        <v>5</v>
      </c>
      <c r="AH301" s="31" t="s">
        <v>54</v>
      </c>
    </row>
    <row r="302" ht="13.9" spans="1:34">
      <c r="A302" s="6">
        <v>2024</v>
      </c>
      <c r="B302" s="7">
        <v>0.5</v>
      </c>
      <c r="C302" s="6">
        <v>0.5</v>
      </c>
      <c r="D302" s="6">
        <v>4.35</v>
      </c>
      <c r="E302" s="6">
        <v>0.6</v>
      </c>
      <c r="F302" s="6">
        <v>1.5</v>
      </c>
      <c r="G302" s="6">
        <v>0.1</v>
      </c>
      <c r="H302" s="6">
        <v>0.25</v>
      </c>
      <c r="I302" s="6">
        <v>0</v>
      </c>
      <c r="J302" s="6">
        <v>0.15</v>
      </c>
      <c r="K302" s="6">
        <v>0.05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8">
        <f>100-SUM(B302:S302)</f>
        <v>92</v>
      </c>
      <c r="U302" s="7">
        <v>495</v>
      </c>
      <c r="V302" s="6">
        <v>190</v>
      </c>
      <c r="W302" s="6">
        <v>12</v>
      </c>
      <c r="X302" s="6" t="s">
        <v>44</v>
      </c>
      <c r="Y302" s="6" t="s">
        <v>73</v>
      </c>
      <c r="Z302" s="6" t="s">
        <v>79</v>
      </c>
      <c r="AA302" s="6" t="s">
        <v>74</v>
      </c>
      <c r="AB302" s="6" t="s">
        <v>37</v>
      </c>
      <c r="AC302" s="6" t="s">
        <v>51</v>
      </c>
      <c r="AD302" s="26" t="s">
        <v>83</v>
      </c>
      <c r="AE302" s="7">
        <v>385</v>
      </c>
      <c r="AF302" s="6">
        <v>440</v>
      </c>
      <c r="AG302" s="10">
        <v>4</v>
      </c>
      <c r="AH302" s="31" t="s">
        <v>54</v>
      </c>
    </row>
    <row r="303" ht="13.9" spans="1:34">
      <c r="A303" s="6">
        <v>2024</v>
      </c>
      <c r="B303" s="7">
        <v>0.5</v>
      </c>
      <c r="C303" s="6">
        <v>0.5</v>
      </c>
      <c r="D303" s="6">
        <v>4.35</v>
      </c>
      <c r="E303" s="6">
        <v>0.6</v>
      </c>
      <c r="F303" s="6">
        <v>1.5</v>
      </c>
      <c r="G303" s="6">
        <v>0.1</v>
      </c>
      <c r="H303" s="6">
        <v>0.25</v>
      </c>
      <c r="I303" s="6">
        <v>0</v>
      </c>
      <c r="J303" s="6">
        <v>0.15</v>
      </c>
      <c r="K303" s="6">
        <v>0.05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8">
        <v>92</v>
      </c>
      <c r="U303" s="7">
        <v>495</v>
      </c>
      <c r="V303" s="6">
        <v>190</v>
      </c>
      <c r="W303" s="6">
        <v>12</v>
      </c>
      <c r="X303" s="6" t="s">
        <v>44</v>
      </c>
      <c r="Y303" s="6" t="s">
        <v>73</v>
      </c>
      <c r="Z303" s="6" t="s">
        <v>79</v>
      </c>
      <c r="AA303" s="6" t="s">
        <v>74</v>
      </c>
      <c r="AB303" s="6" t="s">
        <v>37</v>
      </c>
      <c r="AC303" s="6" t="s">
        <v>69</v>
      </c>
      <c r="AD303" s="26" t="s">
        <v>83</v>
      </c>
      <c r="AE303" s="7">
        <v>385</v>
      </c>
      <c r="AF303" s="6">
        <v>440</v>
      </c>
      <c r="AG303" s="34">
        <v>4</v>
      </c>
      <c r="AH303" s="31" t="s">
        <v>54</v>
      </c>
    </row>
    <row r="304" ht="13.9" spans="1:34">
      <c r="A304" s="6">
        <v>2024</v>
      </c>
      <c r="B304" s="7">
        <v>0.5</v>
      </c>
      <c r="C304" s="6">
        <v>0.5</v>
      </c>
      <c r="D304" s="6">
        <v>4.35</v>
      </c>
      <c r="E304" s="6">
        <v>0.6</v>
      </c>
      <c r="F304" s="6">
        <v>1.5</v>
      </c>
      <c r="G304" s="6">
        <v>0.1</v>
      </c>
      <c r="H304" s="6">
        <v>0.25</v>
      </c>
      <c r="I304" s="6">
        <v>0</v>
      </c>
      <c r="J304" s="6">
        <v>0.15</v>
      </c>
      <c r="K304" s="6">
        <v>0.05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8">
        <v>92</v>
      </c>
      <c r="U304" s="7">
        <v>495</v>
      </c>
      <c r="V304" s="6">
        <v>190</v>
      </c>
      <c r="W304" s="6">
        <v>12</v>
      </c>
      <c r="X304" s="6" t="s">
        <v>44</v>
      </c>
      <c r="Y304" s="6" t="s">
        <v>73</v>
      </c>
      <c r="Z304" s="6" t="s">
        <v>79</v>
      </c>
      <c r="AA304" s="6" t="s">
        <v>74</v>
      </c>
      <c r="AB304" s="6" t="s">
        <v>37</v>
      </c>
      <c r="AC304" s="6" t="s">
        <v>45</v>
      </c>
      <c r="AD304" s="26" t="s">
        <v>83</v>
      </c>
      <c r="AE304" s="7">
        <v>385</v>
      </c>
      <c r="AF304" s="6">
        <v>440</v>
      </c>
      <c r="AG304" s="34">
        <v>4</v>
      </c>
      <c r="AH304" s="31" t="s">
        <v>54</v>
      </c>
    </row>
    <row r="305" ht="13.9" spans="1:34">
      <c r="A305" s="6">
        <v>2024</v>
      </c>
      <c r="B305" s="7">
        <v>0.5</v>
      </c>
      <c r="C305" s="6">
        <v>0.5</v>
      </c>
      <c r="D305" s="6">
        <v>4.35</v>
      </c>
      <c r="E305" s="6">
        <v>0.6</v>
      </c>
      <c r="F305" s="6">
        <v>1.5</v>
      </c>
      <c r="G305" s="6">
        <v>0.1</v>
      </c>
      <c r="H305" s="6">
        <v>0.25</v>
      </c>
      <c r="I305" s="6">
        <v>0</v>
      </c>
      <c r="J305" s="6">
        <v>0.15</v>
      </c>
      <c r="K305" s="6">
        <v>0.05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8">
        <f t="shared" ref="T305:T318" si="13">100-SUM(B305:S305)</f>
        <v>92</v>
      </c>
      <c r="U305" s="7">
        <v>495</v>
      </c>
      <c r="V305" s="6">
        <v>190</v>
      </c>
      <c r="W305" s="6">
        <v>9</v>
      </c>
      <c r="X305" s="6" t="s">
        <v>42</v>
      </c>
      <c r="Y305" s="6" t="s">
        <v>73</v>
      </c>
      <c r="Z305" s="6" t="s">
        <v>37</v>
      </c>
      <c r="AA305" s="6" t="s">
        <v>74</v>
      </c>
      <c r="AB305" s="6" t="s">
        <v>37</v>
      </c>
      <c r="AC305" s="6" t="s">
        <v>43</v>
      </c>
      <c r="AD305" s="26" t="s">
        <v>77</v>
      </c>
      <c r="AE305" s="7">
        <v>345</v>
      </c>
      <c r="AF305" s="6">
        <v>440</v>
      </c>
      <c r="AG305" s="34">
        <v>5</v>
      </c>
      <c r="AH305" s="31" t="s">
        <v>54</v>
      </c>
    </row>
    <row r="306" ht="13.9" spans="1:34">
      <c r="A306" s="6">
        <v>2024</v>
      </c>
      <c r="B306" s="7">
        <v>0.5</v>
      </c>
      <c r="C306" s="6">
        <v>0.5</v>
      </c>
      <c r="D306" s="6">
        <v>4.35</v>
      </c>
      <c r="E306" s="6">
        <v>0.6</v>
      </c>
      <c r="F306" s="6">
        <v>1.5</v>
      </c>
      <c r="G306" s="6">
        <v>0.1</v>
      </c>
      <c r="H306" s="6">
        <v>0.25</v>
      </c>
      <c r="I306" s="6">
        <v>0</v>
      </c>
      <c r="J306" s="6">
        <v>0.15</v>
      </c>
      <c r="K306" s="6">
        <v>0.05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8">
        <f t="shared" si="13"/>
        <v>92</v>
      </c>
      <c r="U306" s="7">
        <v>495</v>
      </c>
      <c r="V306" s="6">
        <v>25</v>
      </c>
      <c r="W306" s="6">
        <v>0</v>
      </c>
      <c r="X306" s="6" t="s">
        <v>34</v>
      </c>
      <c r="Y306" s="6" t="s">
        <v>73</v>
      </c>
      <c r="Z306" s="6" t="s">
        <v>79</v>
      </c>
      <c r="AA306" s="6" t="s">
        <v>80</v>
      </c>
      <c r="AB306" s="6" t="s">
        <v>37</v>
      </c>
      <c r="AC306" s="6" t="s">
        <v>45</v>
      </c>
      <c r="AD306" s="26" t="s">
        <v>81</v>
      </c>
      <c r="AE306" s="7">
        <v>290</v>
      </c>
      <c r="AF306" s="6">
        <v>440</v>
      </c>
      <c r="AG306" s="10">
        <v>16</v>
      </c>
      <c r="AH306" s="31" t="s">
        <v>54</v>
      </c>
    </row>
    <row r="307" ht="13.9" spans="1:34">
      <c r="A307" s="6">
        <v>2024</v>
      </c>
      <c r="B307" s="7">
        <v>0.5</v>
      </c>
      <c r="C307" s="6">
        <v>0.5</v>
      </c>
      <c r="D307" s="6">
        <v>4.35</v>
      </c>
      <c r="E307" s="6">
        <v>0.6</v>
      </c>
      <c r="F307" s="6">
        <v>1.5</v>
      </c>
      <c r="G307" s="6">
        <v>0.1</v>
      </c>
      <c r="H307" s="6">
        <v>0.25</v>
      </c>
      <c r="I307" s="6">
        <v>0</v>
      </c>
      <c r="J307" s="6">
        <v>0.15</v>
      </c>
      <c r="K307" s="6">
        <v>0.05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8">
        <f t="shared" si="13"/>
        <v>92</v>
      </c>
      <c r="U307" s="7">
        <v>495</v>
      </c>
      <c r="V307" s="6">
        <v>25</v>
      </c>
      <c r="W307" s="6">
        <v>0</v>
      </c>
      <c r="X307" s="6" t="s">
        <v>34</v>
      </c>
      <c r="Y307" s="6" t="s">
        <v>73</v>
      </c>
      <c r="Z307" s="6" t="s">
        <v>37</v>
      </c>
      <c r="AA307" s="6" t="s">
        <v>80</v>
      </c>
      <c r="AB307" s="6" t="s">
        <v>37</v>
      </c>
      <c r="AC307" s="6" t="s">
        <v>45</v>
      </c>
      <c r="AD307" s="26" t="s">
        <v>86</v>
      </c>
      <c r="AE307" s="7">
        <v>275</v>
      </c>
      <c r="AF307" s="6">
        <v>440</v>
      </c>
      <c r="AG307" s="34">
        <v>13</v>
      </c>
      <c r="AH307" s="31" t="s">
        <v>54</v>
      </c>
    </row>
    <row r="308" ht="13.9" spans="1:34">
      <c r="A308" s="6">
        <v>2024</v>
      </c>
      <c r="B308" s="7">
        <v>0.5</v>
      </c>
      <c r="C308" s="6">
        <v>0.5</v>
      </c>
      <c r="D308" s="6">
        <v>4.35</v>
      </c>
      <c r="E308" s="6">
        <v>0.6</v>
      </c>
      <c r="F308" s="6">
        <v>1.5</v>
      </c>
      <c r="G308" s="6">
        <v>0.1</v>
      </c>
      <c r="H308" s="6">
        <v>0.25</v>
      </c>
      <c r="I308" s="6">
        <v>0</v>
      </c>
      <c r="J308" s="6">
        <v>0.15</v>
      </c>
      <c r="K308" s="6">
        <v>0.05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8">
        <f t="shared" si="13"/>
        <v>92</v>
      </c>
      <c r="U308" s="7">
        <v>495</v>
      </c>
      <c r="V308" s="6">
        <v>190</v>
      </c>
      <c r="W308" s="6">
        <v>9</v>
      </c>
      <c r="X308" s="6" t="s">
        <v>42</v>
      </c>
      <c r="Y308" s="6" t="s">
        <v>73</v>
      </c>
      <c r="Z308" s="6" t="s">
        <v>37</v>
      </c>
      <c r="AA308" s="6" t="s">
        <v>74</v>
      </c>
      <c r="AB308" s="6" t="s">
        <v>37</v>
      </c>
      <c r="AC308" s="6" t="s">
        <v>59</v>
      </c>
      <c r="AD308" s="26" t="s">
        <v>77</v>
      </c>
      <c r="AE308" s="7">
        <v>345</v>
      </c>
      <c r="AF308" s="6">
        <v>438</v>
      </c>
      <c r="AG308" s="34">
        <v>5</v>
      </c>
      <c r="AH308" s="31" t="s">
        <v>54</v>
      </c>
    </row>
    <row r="309" ht="13.9" spans="1:34">
      <c r="A309" s="6">
        <v>2024</v>
      </c>
      <c r="B309" s="7">
        <v>0.5</v>
      </c>
      <c r="C309" s="6">
        <v>0.5</v>
      </c>
      <c r="D309" s="6">
        <v>4.35</v>
      </c>
      <c r="E309" s="6">
        <v>0.6</v>
      </c>
      <c r="F309" s="6">
        <v>1.5</v>
      </c>
      <c r="G309" s="6">
        <v>0.1</v>
      </c>
      <c r="H309" s="6">
        <v>0.25</v>
      </c>
      <c r="I309" s="6">
        <v>0</v>
      </c>
      <c r="J309" s="6">
        <v>0.15</v>
      </c>
      <c r="K309" s="6">
        <v>0.05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8">
        <f t="shared" si="13"/>
        <v>92</v>
      </c>
      <c r="U309" s="7">
        <v>495</v>
      </c>
      <c r="V309" s="6">
        <v>190</v>
      </c>
      <c r="W309" s="6">
        <v>12</v>
      </c>
      <c r="X309" s="6" t="s">
        <v>42</v>
      </c>
      <c r="Y309" s="6" t="s">
        <v>73</v>
      </c>
      <c r="Z309" s="6" t="s">
        <v>37</v>
      </c>
      <c r="AA309" s="6" t="s">
        <v>74</v>
      </c>
      <c r="AB309" s="6" t="s">
        <v>37</v>
      </c>
      <c r="AC309" s="6" t="s">
        <v>51</v>
      </c>
      <c r="AD309" s="26" t="s">
        <v>77</v>
      </c>
      <c r="AE309" s="7">
        <v>345</v>
      </c>
      <c r="AF309" s="6">
        <v>425</v>
      </c>
      <c r="AG309" s="10">
        <v>5</v>
      </c>
      <c r="AH309" s="31" t="s">
        <v>54</v>
      </c>
    </row>
    <row r="310" ht="13.9" spans="1:34">
      <c r="A310" s="6">
        <v>2024</v>
      </c>
      <c r="B310" s="7">
        <v>0.5</v>
      </c>
      <c r="C310" s="6">
        <v>0.5</v>
      </c>
      <c r="D310" s="6">
        <v>4.35</v>
      </c>
      <c r="E310" s="6">
        <v>0.6</v>
      </c>
      <c r="F310" s="6">
        <v>1.5</v>
      </c>
      <c r="G310" s="6">
        <v>0.1</v>
      </c>
      <c r="H310" s="6">
        <v>0.25</v>
      </c>
      <c r="I310" s="6">
        <v>0</v>
      </c>
      <c r="J310" s="6">
        <v>0.15</v>
      </c>
      <c r="K310" s="6">
        <v>0.05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8">
        <f t="shared" si="13"/>
        <v>92</v>
      </c>
      <c r="U310" s="7">
        <v>495</v>
      </c>
      <c r="V310" s="6">
        <v>190</v>
      </c>
      <c r="W310" s="6">
        <v>12</v>
      </c>
      <c r="X310" s="6" t="s">
        <v>42</v>
      </c>
      <c r="Y310" s="6" t="s">
        <v>73</v>
      </c>
      <c r="Z310" s="6" t="s">
        <v>37</v>
      </c>
      <c r="AA310" s="6" t="s">
        <v>74</v>
      </c>
      <c r="AB310" s="6" t="s">
        <v>37</v>
      </c>
      <c r="AC310" s="6" t="s">
        <v>69</v>
      </c>
      <c r="AD310" s="26" t="s">
        <v>77</v>
      </c>
      <c r="AE310" s="7">
        <v>345</v>
      </c>
      <c r="AF310" s="6">
        <v>425</v>
      </c>
      <c r="AG310" s="34">
        <v>5</v>
      </c>
      <c r="AH310" s="31" t="s">
        <v>54</v>
      </c>
    </row>
    <row r="311" ht="13.9" spans="1:34">
      <c r="A311" s="6">
        <v>2024</v>
      </c>
      <c r="B311" s="7">
        <v>0.5</v>
      </c>
      <c r="C311" s="6">
        <v>0.5</v>
      </c>
      <c r="D311" s="6">
        <v>4.35</v>
      </c>
      <c r="E311" s="6">
        <v>0.6</v>
      </c>
      <c r="F311" s="6">
        <v>1.5</v>
      </c>
      <c r="G311" s="6">
        <v>0.1</v>
      </c>
      <c r="H311" s="6">
        <v>0.25</v>
      </c>
      <c r="I311" s="6">
        <v>0</v>
      </c>
      <c r="J311" s="6">
        <v>0.15</v>
      </c>
      <c r="K311" s="6">
        <v>0.05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8">
        <f t="shared" si="13"/>
        <v>92</v>
      </c>
      <c r="U311" s="7">
        <v>495</v>
      </c>
      <c r="V311" s="6">
        <v>190</v>
      </c>
      <c r="W311" s="6">
        <v>12</v>
      </c>
      <c r="X311" s="6" t="s">
        <v>42</v>
      </c>
      <c r="Y311" s="6" t="s">
        <v>73</v>
      </c>
      <c r="Z311" s="6" t="s">
        <v>37</v>
      </c>
      <c r="AA311" s="6" t="s">
        <v>74</v>
      </c>
      <c r="AB311" s="6" t="s">
        <v>37</v>
      </c>
      <c r="AC311" s="6" t="s">
        <v>38</v>
      </c>
      <c r="AD311" s="26" t="s">
        <v>77</v>
      </c>
      <c r="AE311" s="7">
        <v>345</v>
      </c>
      <c r="AF311" s="6">
        <v>425</v>
      </c>
      <c r="AG311" s="10">
        <v>5</v>
      </c>
      <c r="AH311" s="31" t="s">
        <v>54</v>
      </c>
    </row>
    <row r="312" ht="13.9" spans="1:34">
      <c r="A312" s="6">
        <v>2024</v>
      </c>
      <c r="B312" s="7">
        <v>0.5</v>
      </c>
      <c r="C312" s="6">
        <v>0.5</v>
      </c>
      <c r="D312" s="6">
        <v>4.35</v>
      </c>
      <c r="E312" s="6">
        <v>0.6</v>
      </c>
      <c r="F312" s="6">
        <v>1.5</v>
      </c>
      <c r="G312" s="6">
        <v>0.1</v>
      </c>
      <c r="H312" s="6">
        <v>0.25</v>
      </c>
      <c r="I312" s="6">
        <v>0</v>
      </c>
      <c r="J312" s="6">
        <v>0.15</v>
      </c>
      <c r="K312" s="6">
        <v>0.05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8">
        <f t="shared" si="13"/>
        <v>92</v>
      </c>
      <c r="U312" s="7">
        <v>495</v>
      </c>
      <c r="V312" s="6">
        <v>25</v>
      </c>
      <c r="W312" s="6">
        <v>0</v>
      </c>
      <c r="X312" s="6" t="s">
        <v>42</v>
      </c>
      <c r="Y312" s="6" t="s">
        <v>73</v>
      </c>
      <c r="Z312" s="6" t="s">
        <v>84</v>
      </c>
      <c r="AA312" s="6" t="s">
        <v>80</v>
      </c>
      <c r="AB312" s="6" t="s">
        <v>37</v>
      </c>
      <c r="AC312" s="6" t="s">
        <v>51</v>
      </c>
      <c r="AD312" s="26" t="s">
        <v>111</v>
      </c>
      <c r="AE312" s="7">
        <v>310</v>
      </c>
      <c r="AF312" s="6">
        <v>425</v>
      </c>
      <c r="AG312" s="10">
        <v>10</v>
      </c>
      <c r="AH312" s="31" t="s">
        <v>54</v>
      </c>
    </row>
    <row r="313" ht="13.9" spans="1:34">
      <c r="A313" s="6">
        <v>2024</v>
      </c>
      <c r="B313" s="7">
        <v>0.5</v>
      </c>
      <c r="C313" s="6">
        <v>0.5</v>
      </c>
      <c r="D313" s="6">
        <v>4.35</v>
      </c>
      <c r="E313" s="6">
        <v>0.6</v>
      </c>
      <c r="F313" s="6">
        <v>1.5</v>
      </c>
      <c r="G313" s="6">
        <v>0.1</v>
      </c>
      <c r="H313" s="6">
        <v>0.25</v>
      </c>
      <c r="I313" s="6">
        <v>0</v>
      </c>
      <c r="J313" s="6">
        <v>0.15</v>
      </c>
      <c r="K313" s="6">
        <v>0.05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8">
        <f t="shared" si="13"/>
        <v>92</v>
      </c>
      <c r="U313" s="7">
        <v>495</v>
      </c>
      <c r="V313" s="6">
        <v>25</v>
      </c>
      <c r="W313" s="6">
        <v>0</v>
      </c>
      <c r="X313" s="6" t="s">
        <v>42</v>
      </c>
      <c r="Y313" s="6" t="s">
        <v>73</v>
      </c>
      <c r="Z313" s="6" t="s">
        <v>84</v>
      </c>
      <c r="AA313" s="6" t="s">
        <v>80</v>
      </c>
      <c r="AB313" s="6" t="s">
        <v>37</v>
      </c>
      <c r="AC313" s="6" t="s">
        <v>69</v>
      </c>
      <c r="AD313" s="26" t="s">
        <v>111</v>
      </c>
      <c r="AE313" s="7">
        <v>310</v>
      </c>
      <c r="AF313" s="6">
        <v>425</v>
      </c>
      <c r="AG313" s="34">
        <v>10</v>
      </c>
      <c r="AH313" s="31" t="s">
        <v>54</v>
      </c>
    </row>
    <row r="314" ht="13.9" spans="1:34">
      <c r="A314" s="6">
        <v>2024</v>
      </c>
      <c r="B314" s="7">
        <v>0.5</v>
      </c>
      <c r="C314" s="6">
        <v>0.5</v>
      </c>
      <c r="D314" s="6">
        <v>4.35</v>
      </c>
      <c r="E314" s="6">
        <v>0.6</v>
      </c>
      <c r="F314" s="6">
        <v>1.5</v>
      </c>
      <c r="G314" s="6">
        <v>0.1</v>
      </c>
      <c r="H314" s="6">
        <v>0.25</v>
      </c>
      <c r="I314" s="6">
        <v>0</v>
      </c>
      <c r="J314" s="6">
        <v>0.15</v>
      </c>
      <c r="K314" s="6">
        <v>0.05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8">
        <f t="shared" si="13"/>
        <v>92</v>
      </c>
      <c r="U314" s="7">
        <v>495</v>
      </c>
      <c r="V314" s="6">
        <v>25</v>
      </c>
      <c r="W314" s="6">
        <v>0</v>
      </c>
      <c r="X314" s="6" t="s">
        <v>42</v>
      </c>
      <c r="Y314" s="6" t="s">
        <v>73</v>
      </c>
      <c r="Z314" s="6" t="s">
        <v>84</v>
      </c>
      <c r="AA314" s="6" t="s">
        <v>80</v>
      </c>
      <c r="AB314" s="6" t="s">
        <v>37</v>
      </c>
      <c r="AC314" s="6" t="s">
        <v>38</v>
      </c>
      <c r="AD314" s="26" t="s">
        <v>111</v>
      </c>
      <c r="AE314" s="7">
        <v>310</v>
      </c>
      <c r="AF314" s="6">
        <v>425</v>
      </c>
      <c r="AG314" s="10">
        <v>10</v>
      </c>
      <c r="AH314" s="31" t="s">
        <v>54</v>
      </c>
    </row>
    <row r="315" ht="13.9" spans="1:34">
      <c r="A315" s="6">
        <v>2024</v>
      </c>
      <c r="B315" s="7">
        <v>0.5</v>
      </c>
      <c r="C315" s="6">
        <v>0.5</v>
      </c>
      <c r="D315" s="6">
        <v>4.35</v>
      </c>
      <c r="E315" s="6">
        <v>0.6</v>
      </c>
      <c r="F315" s="6">
        <v>1.5</v>
      </c>
      <c r="G315" s="6">
        <v>0.1</v>
      </c>
      <c r="H315" s="6">
        <v>0.25</v>
      </c>
      <c r="I315" s="6">
        <v>0</v>
      </c>
      <c r="J315" s="6">
        <v>0.15</v>
      </c>
      <c r="K315" s="6">
        <v>0.05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8">
        <f t="shared" si="13"/>
        <v>92</v>
      </c>
      <c r="U315" s="7">
        <v>495</v>
      </c>
      <c r="V315" s="6">
        <v>25</v>
      </c>
      <c r="W315" s="6">
        <v>0</v>
      </c>
      <c r="X315" s="6" t="s">
        <v>34</v>
      </c>
      <c r="Y315" s="6" t="s">
        <v>73</v>
      </c>
      <c r="Z315" s="6" t="s">
        <v>37</v>
      </c>
      <c r="AA315" s="6" t="s">
        <v>80</v>
      </c>
      <c r="AB315" s="6" t="s">
        <v>37</v>
      </c>
      <c r="AC315" s="6" t="s">
        <v>69</v>
      </c>
      <c r="AD315" s="26" t="s">
        <v>86</v>
      </c>
      <c r="AE315" s="7">
        <v>275</v>
      </c>
      <c r="AF315" s="6">
        <v>425</v>
      </c>
      <c r="AG315" s="34">
        <v>10</v>
      </c>
      <c r="AH315" s="31" t="s">
        <v>54</v>
      </c>
    </row>
    <row r="316" ht="13.9" spans="1:34">
      <c r="A316" s="6">
        <v>2024</v>
      </c>
      <c r="B316" s="7">
        <v>0.5</v>
      </c>
      <c r="C316" s="6">
        <v>0.5</v>
      </c>
      <c r="D316" s="6">
        <v>4.35</v>
      </c>
      <c r="E316" s="6">
        <v>0.6</v>
      </c>
      <c r="F316" s="6">
        <v>1.5</v>
      </c>
      <c r="G316" s="6">
        <v>0.1</v>
      </c>
      <c r="H316" s="6">
        <v>0.25</v>
      </c>
      <c r="I316" s="6">
        <v>0</v>
      </c>
      <c r="J316" s="6">
        <v>0.15</v>
      </c>
      <c r="K316" s="6">
        <v>0.05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8">
        <f t="shared" si="13"/>
        <v>92</v>
      </c>
      <c r="U316" s="7">
        <v>560</v>
      </c>
      <c r="V316" s="6">
        <v>25</v>
      </c>
      <c r="W316" s="6">
        <v>0</v>
      </c>
      <c r="X316" s="6" t="s">
        <v>42</v>
      </c>
      <c r="Y316" s="6" t="s">
        <v>73</v>
      </c>
      <c r="Z316" s="6" t="s">
        <v>37</v>
      </c>
      <c r="AA316" s="6" t="s">
        <v>80</v>
      </c>
      <c r="AB316" s="6" t="s">
        <v>37</v>
      </c>
      <c r="AC316" s="6" t="s">
        <v>51</v>
      </c>
      <c r="AD316" s="26" t="s">
        <v>86</v>
      </c>
      <c r="AE316" s="7">
        <v>275</v>
      </c>
      <c r="AF316" s="6">
        <v>425</v>
      </c>
      <c r="AG316" s="34">
        <v>10</v>
      </c>
      <c r="AH316" s="31" t="s">
        <v>54</v>
      </c>
    </row>
    <row r="317" ht="13.9" spans="1:34">
      <c r="A317" s="6">
        <v>2024</v>
      </c>
      <c r="B317" s="7">
        <v>0.5</v>
      </c>
      <c r="C317" s="6">
        <v>0.5</v>
      </c>
      <c r="D317" s="6">
        <v>4.35</v>
      </c>
      <c r="E317" s="6">
        <v>0.6</v>
      </c>
      <c r="F317" s="6">
        <v>1.5</v>
      </c>
      <c r="G317" s="6">
        <v>0.1</v>
      </c>
      <c r="H317" s="6">
        <v>0.25</v>
      </c>
      <c r="I317" s="6">
        <v>0</v>
      </c>
      <c r="J317" s="6">
        <v>0.15</v>
      </c>
      <c r="K317" s="6">
        <v>0.05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8">
        <f t="shared" si="13"/>
        <v>92</v>
      </c>
      <c r="U317" s="7">
        <v>560</v>
      </c>
      <c r="V317" s="6">
        <v>25</v>
      </c>
      <c r="W317" s="6">
        <v>0</v>
      </c>
      <c r="X317" s="6" t="s">
        <v>42</v>
      </c>
      <c r="Y317" s="6" t="s">
        <v>73</v>
      </c>
      <c r="Z317" s="6" t="s">
        <v>37</v>
      </c>
      <c r="AA317" s="6" t="s">
        <v>80</v>
      </c>
      <c r="AB317" s="6" t="s">
        <v>37</v>
      </c>
      <c r="AC317" s="6" t="s">
        <v>69</v>
      </c>
      <c r="AD317" s="26" t="s">
        <v>86</v>
      </c>
      <c r="AE317" s="7">
        <v>275</v>
      </c>
      <c r="AF317" s="6">
        <v>425</v>
      </c>
      <c r="AG317" s="34">
        <v>10</v>
      </c>
      <c r="AH317" s="31" t="s">
        <v>54</v>
      </c>
    </row>
    <row r="318" ht="13.9" spans="1:34">
      <c r="A318" s="6">
        <v>2024</v>
      </c>
      <c r="B318" s="7">
        <v>0.5</v>
      </c>
      <c r="C318" s="6">
        <v>0.5</v>
      </c>
      <c r="D318" s="6">
        <v>4.35</v>
      </c>
      <c r="E318" s="6">
        <v>0.6</v>
      </c>
      <c r="F318" s="6">
        <v>1.5</v>
      </c>
      <c r="G318" s="6">
        <v>0.1</v>
      </c>
      <c r="H318" s="6">
        <v>0.25</v>
      </c>
      <c r="I318" s="6">
        <v>0</v>
      </c>
      <c r="J318" s="6">
        <v>0.15</v>
      </c>
      <c r="K318" s="6">
        <v>0.05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8">
        <f t="shared" si="13"/>
        <v>92</v>
      </c>
      <c r="U318" s="7">
        <v>560</v>
      </c>
      <c r="V318" s="6">
        <v>25</v>
      </c>
      <c r="W318" s="6">
        <v>0</v>
      </c>
      <c r="X318" s="6" t="s">
        <v>42</v>
      </c>
      <c r="Y318" s="6" t="s">
        <v>73</v>
      </c>
      <c r="Z318" s="6" t="s">
        <v>37</v>
      </c>
      <c r="AA318" s="6" t="s">
        <v>80</v>
      </c>
      <c r="AB318" s="6" t="s">
        <v>37</v>
      </c>
      <c r="AC318" s="6" t="s">
        <v>38</v>
      </c>
      <c r="AD318" s="26" t="s">
        <v>86</v>
      </c>
      <c r="AE318" s="7">
        <v>275</v>
      </c>
      <c r="AF318" s="6">
        <v>425</v>
      </c>
      <c r="AG318" s="10">
        <v>10</v>
      </c>
      <c r="AH318" s="31" t="s">
        <v>54</v>
      </c>
    </row>
    <row r="319" ht="13.9" spans="1:34">
      <c r="A319" s="6">
        <v>2024</v>
      </c>
      <c r="B319" s="7">
        <v>0.5</v>
      </c>
      <c r="C319" s="6">
        <v>0.5</v>
      </c>
      <c r="D319" s="6">
        <v>4.35</v>
      </c>
      <c r="E319" s="6">
        <v>0.6</v>
      </c>
      <c r="F319" s="6">
        <v>1.5</v>
      </c>
      <c r="G319" s="6">
        <v>0.1</v>
      </c>
      <c r="H319" s="6">
        <v>0.25</v>
      </c>
      <c r="I319" s="6">
        <v>0</v>
      </c>
      <c r="J319" s="6">
        <v>0.15</v>
      </c>
      <c r="K319" s="6">
        <v>0.05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8">
        <v>92</v>
      </c>
      <c r="U319" s="7">
        <v>495</v>
      </c>
      <c r="V319" s="6">
        <v>25</v>
      </c>
      <c r="W319" s="6">
        <v>0</v>
      </c>
      <c r="X319" s="6" t="s">
        <v>34</v>
      </c>
      <c r="Y319" s="6" t="s">
        <v>73</v>
      </c>
      <c r="Z319" s="6" t="s">
        <v>37</v>
      </c>
      <c r="AA319" s="6" t="s">
        <v>80</v>
      </c>
      <c r="AB319" s="6" t="s">
        <v>37</v>
      </c>
      <c r="AC319" s="6" t="s">
        <v>38</v>
      </c>
      <c r="AD319" s="26" t="s">
        <v>86</v>
      </c>
      <c r="AE319" s="7">
        <v>275</v>
      </c>
      <c r="AF319" s="6">
        <v>425</v>
      </c>
      <c r="AG319" s="10">
        <v>10</v>
      </c>
      <c r="AH319" s="31" t="s">
        <v>54</v>
      </c>
    </row>
    <row r="320" ht="13.9" spans="1:34">
      <c r="A320" s="6">
        <v>2024</v>
      </c>
      <c r="B320" s="7">
        <v>0.5</v>
      </c>
      <c r="C320" s="6">
        <v>0.5</v>
      </c>
      <c r="D320" s="6">
        <v>4.35</v>
      </c>
      <c r="E320" s="6">
        <v>0.6</v>
      </c>
      <c r="F320" s="6">
        <v>1.5</v>
      </c>
      <c r="G320" s="6">
        <v>0.1</v>
      </c>
      <c r="H320" s="6">
        <v>0.25</v>
      </c>
      <c r="I320" s="6">
        <v>0</v>
      </c>
      <c r="J320" s="6">
        <v>0.15</v>
      </c>
      <c r="K320" s="6">
        <v>0.05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8">
        <f t="shared" ref="T320:T328" si="14">100-SUM(B320:S320)</f>
        <v>92</v>
      </c>
      <c r="U320" s="7">
        <v>495</v>
      </c>
      <c r="V320" s="6">
        <v>25</v>
      </c>
      <c r="W320" s="6">
        <v>0</v>
      </c>
      <c r="X320" s="6" t="s">
        <v>42</v>
      </c>
      <c r="Y320" s="6" t="s">
        <v>73</v>
      </c>
      <c r="Z320" s="6" t="s">
        <v>37</v>
      </c>
      <c r="AA320" s="6" t="s">
        <v>80</v>
      </c>
      <c r="AB320" s="6" t="s">
        <v>37</v>
      </c>
      <c r="AC320" s="6" t="s">
        <v>51</v>
      </c>
      <c r="AD320" s="26" t="s">
        <v>86</v>
      </c>
      <c r="AE320" s="7">
        <v>284</v>
      </c>
      <c r="AF320" s="6">
        <v>419</v>
      </c>
      <c r="AG320" s="34">
        <v>10</v>
      </c>
      <c r="AH320" s="31" t="s">
        <v>54</v>
      </c>
    </row>
    <row r="321" ht="13.9" spans="1:34">
      <c r="A321" s="6">
        <v>2024</v>
      </c>
      <c r="B321" s="7">
        <v>0.5</v>
      </c>
      <c r="C321" s="6">
        <v>0.5</v>
      </c>
      <c r="D321" s="6">
        <v>4.35</v>
      </c>
      <c r="E321" s="6">
        <v>0.6</v>
      </c>
      <c r="F321" s="6">
        <v>1.5</v>
      </c>
      <c r="G321" s="6">
        <v>0.1</v>
      </c>
      <c r="H321" s="6">
        <v>0.25</v>
      </c>
      <c r="I321" s="6">
        <v>0</v>
      </c>
      <c r="J321" s="6">
        <v>0.15</v>
      </c>
      <c r="K321" s="6">
        <v>0.05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8">
        <f t="shared" si="14"/>
        <v>92</v>
      </c>
      <c r="U321" s="7">
        <v>495</v>
      </c>
      <c r="V321" s="6">
        <v>25</v>
      </c>
      <c r="W321" s="6">
        <v>0</v>
      </c>
      <c r="X321" s="6" t="s">
        <v>42</v>
      </c>
      <c r="Y321" s="6" t="s">
        <v>73</v>
      </c>
      <c r="Z321" s="6" t="s">
        <v>37</v>
      </c>
      <c r="AA321" s="6" t="s">
        <v>80</v>
      </c>
      <c r="AB321" s="6" t="s">
        <v>37</v>
      </c>
      <c r="AC321" s="6" t="s">
        <v>69</v>
      </c>
      <c r="AD321" s="26" t="s">
        <v>86</v>
      </c>
      <c r="AE321" s="7">
        <v>284</v>
      </c>
      <c r="AF321" s="6">
        <v>419</v>
      </c>
      <c r="AG321" s="34">
        <v>10</v>
      </c>
      <c r="AH321" s="31" t="s">
        <v>54</v>
      </c>
    </row>
    <row r="322" ht="13.9" spans="1:34">
      <c r="A322" s="6">
        <v>2024</v>
      </c>
      <c r="B322" s="7">
        <v>0.5</v>
      </c>
      <c r="C322" s="6">
        <v>0.5</v>
      </c>
      <c r="D322" s="6">
        <v>4.35</v>
      </c>
      <c r="E322" s="6">
        <v>0.6</v>
      </c>
      <c r="F322" s="6">
        <v>1.5</v>
      </c>
      <c r="G322" s="6">
        <v>0.1</v>
      </c>
      <c r="H322" s="6">
        <v>0.25</v>
      </c>
      <c r="I322" s="6">
        <v>0</v>
      </c>
      <c r="J322" s="6">
        <v>0.15</v>
      </c>
      <c r="K322" s="6">
        <v>0.05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8">
        <f t="shared" si="14"/>
        <v>92</v>
      </c>
      <c r="U322" s="7">
        <v>495</v>
      </c>
      <c r="V322" s="6">
        <v>25</v>
      </c>
      <c r="W322" s="6">
        <v>0</v>
      </c>
      <c r="X322" s="6" t="s">
        <v>42</v>
      </c>
      <c r="Y322" s="6" t="s">
        <v>73</v>
      </c>
      <c r="Z322" s="6" t="s">
        <v>37</v>
      </c>
      <c r="AA322" s="6" t="s">
        <v>80</v>
      </c>
      <c r="AB322" s="6" t="s">
        <v>37</v>
      </c>
      <c r="AC322" s="6" t="s">
        <v>38</v>
      </c>
      <c r="AD322" s="26" t="s">
        <v>86</v>
      </c>
      <c r="AE322" s="7">
        <v>284</v>
      </c>
      <c r="AF322" s="6">
        <v>419</v>
      </c>
      <c r="AG322" s="34">
        <v>10</v>
      </c>
      <c r="AH322" s="31" t="s">
        <v>54</v>
      </c>
    </row>
    <row r="323" ht="13.9" spans="1:34">
      <c r="A323" s="6">
        <v>2024</v>
      </c>
      <c r="B323" s="7">
        <v>0.5</v>
      </c>
      <c r="C323" s="6">
        <v>0.5</v>
      </c>
      <c r="D323" s="6">
        <v>4.35</v>
      </c>
      <c r="E323" s="6">
        <v>0.6</v>
      </c>
      <c r="F323" s="6">
        <v>1.5</v>
      </c>
      <c r="G323" s="6">
        <v>0.1</v>
      </c>
      <c r="H323" s="6">
        <v>0.25</v>
      </c>
      <c r="I323" s="6">
        <v>0</v>
      </c>
      <c r="J323" s="6">
        <v>0.15</v>
      </c>
      <c r="K323" s="6">
        <v>0.05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8">
        <f t="shared" si="14"/>
        <v>92</v>
      </c>
      <c r="U323" s="7">
        <v>495</v>
      </c>
      <c r="V323" s="6">
        <v>190</v>
      </c>
      <c r="W323" s="6">
        <v>16</v>
      </c>
      <c r="X323" s="6" t="s">
        <v>42</v>
      </c>
      <c r="Y323" s="6" t="s">
        <v>73</v>
      </c>
      <c r="Z323" s="6" t="s">
        <v>37</v>
      </c>
      <c r="AA323" s="6" t="s">
        <v>118</v>
      </c>
      <c r="AB323" s="6" t="s">
        <v>37</v>
      </c>
      <c r="AC323" s="6" t="s">
        <v>43</v>
      </c>
      <c r="AD323" s="26" t="s">
        <v>119</v>
      </c>
      <c r="AE323" s="7">
        <v>315</v>
      </c>
      <c r="AF323" s="6">
        <v>415</v>
      </c>
      <c r="AG323" s="10">
        <v>5</v>
      </c>
      <c r="AH323" s="31" t="s">
        <v>54</v>
      </c>
    </row>
    <row r="324" ht="13.9" spans="1:34">
      <c r="A324" s="6">
        <v>2024</v>
      </c>
      <c r="B324" s="7">
        <v>0.5</v>
      </c>
      <c r="C324" s="6">
        <v>0.5</v>
      </c>
      <c r="D324" s="6">
        <v>4.35</v>
      </c>
      <c r="E324" s="6">
        <v>0.6</v>
      </c>
      <c r="F324" s="6">
        <v>1.5</v>
      </c>
      <c r="G324" s="6">
        <v>0.1</v>
      </c>
      <c r="H324" s="6">
        <v>0.25</v>
      </c>
      <c r="I324" s="6">
        <v>0</v>
      </c>
      <c r="J324" s="6">
        <v>0.15</v>
      </c>
      <c r="K324" s="6">
        <v>0.05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8">
        <f t="shared" si="14"/>
        <v>92</v>
      </c>
      <c r="U324" s="7">
        <v>495</v>
      </c>
      <c r="V324" s="6">
        <v>190</v>
      </c>
      <c r="W324" s="6">
        <v>16</v>
      </c>
      <c r="X324" s="6" t="s">
        <v>42</v>
      </c>
      <c r="Y324" s="6" t="s">
        <v>73</v>
      </c>
      <c r="Z324" s="6" t="s">
        <v>37</v>
      </c>
      <c r="AA324" s="6" t="s">
        <v>74</v>
      </c>
      <c r="AB324" s="6" t="s">
        <v>37</v>
      </c>
      <c r="AC324" s="6" t="s">
        <v>51</v>
      </c>
      <c r="AD324" s="26" t="s">
        <v>77</v>
      </c>
      <c r="AE324" s="7">
        <v>315</v>
      </c>
      <c r="AF324" s="6">
        <v>415</v>
      </c>
      <c r="AG324" s="34">
        <v>5</v>
      </c>
      <c r="AH324" s="31" t="s">
        <v>54</v>
      </c>
    </row>
    <row r="325" ht="13.9" spans="1:34">
      <c r="A325" s="6">
        <v>2024</v>
      </c>
      <c r="B325" s="7">
        <v>0.5</v>
      </c>
      <c r="C325" s="6">
        <v>0.5</v>
      </c>
      <c r="D325" s="6">
        <v>4.35</v>
      </c>
      <c r="E325" s="6">
        <v>0.6</v>
      </c>
      <c r="F325" s="6">
        <v>1.5</v>
      </c>
      <c r="G325" s="6">
        <v>0.1</v>
      </c>
      <c r="H325" s="6">
        <v>0.25</v>
      </c>
      <c r="I325" s="6">
        <v>0</v>
      </c>
      <c r="J325" s="6">
        <v>0.15</v>
      </c>
      <c r="K325" s="6">
        <v>0.05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8">
        <f t="shared" si="14"/>
        <v>92</v>
      </c>
      <c r="U325" s="7">
        <v>495</v>
      </c>
      <c r="V325" s="6">
        <v>190</v>
      </c>
      <c r="W325" s="6">
        <v>16</v>
      </c>
      <c r="X325" s="6" t="s">
        <v>42</v>
      </c>
      <c r="Y325" s="6" t="s">
        <v>73</v>
      </c>
      <c r="Z325" s="6" t="s">
        <v>37</v>
      </c>
      <c r="AA325" s="6" t="s">
        <v>74</v>
      </c>
      <c r="AB325" s="6" t="s">
        <v>37</v>
      </c>
      <c r="AC325" s="6" t="s">
        <v>69</v>
      </c>
      <c r="AD325" s="26" t="s">
        <v>77</v>
      </c>
      <c r="AE325" s="7">
        <v>315</v>
      </c>
      <c r="AF325" s="6">
        <v>415</v>
      </c>
      <c r="AG325" s="34">
        <v>5</v>
      </c>
      <c r="AH325" s="31" t="s">
        <v>54</v>
      </c>
    </row>
    <row r="326" ht="13.9" spans="1:34">
      <c r="A326" s="6">
        <v>2024</v>
      </c>
      <c r="B326" s="7">
        <v>0.5</v>
      </c>
      <c r="C326" s="6">
        <v>0.5</v>
      </c>
      <c r="D326" s="6">
        <v>4.35</v>
      </c>
      <c r="E326" s="6">
        <v>0.6</v>
      </c>
      <c r="F326" s="6">
        <v>1.5</v>
      </c>
      <c r="G326" s="6">
        <v>0.1</v>
      </c>
      <c r="H326" s="6">
        <v>0.25</v>
      </c>
      <c r="I326" s="6">
        <v>0</v>
      </c>
      <c r="J326" s="6">
        <v>0.15</v>
      </c>
      <c r="K326" s="6">
        <v>0.05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8">
        <f t="shared" si="14"/>
        <v>92</v>
      </c>
      <c r="U326" s="7">
        <v>495</v>
      </c>
      <c r="V326" s="6">
        <v>190</v>
      </c>
      <c r="W326" s="6">
        <v>16</v>
      </c>
      <c r="X326" s="6" t="s">
        <v>42</v>
      </c>
      <c r="Y326" s="6" t="s">
        <v>73</v>
      </c>
      <c r="Z326" s="6" t="s">
        <v>37</v>
      </c>
      <c r="AA326" s="6" t="s">
        <v>74</v>
      </c>
      <c r="AB326" s="6" t="s">
        <v>37</v>
      </c>
      <c r="AC326" s="6" t="s">
        <v>38</v>
      </c>
      <c r="AD326" s="26" t="s">
        <v>77</v>
      </c>
      <c r="AE326" s="7">
        <v>315</v>
      </c>
      <c r="AF326" s="6">
        <v>415</v>
      </c>
      <c r="AG326" s="34">
        <v>5</v>
      </c>
      <c r="AH326" s="31" t="s">
        <v>54</v>
      </c>
    </row>
    <row r="327" ht="13.9" spans="1:34">
      <c r="A327" s="6">
        <v>2024</v>
      </c>
      <c r="B327" s="7">
        <v>0.5</v>
      </c>
      <c r="C327" s="6">
        <v>0.5</v>
      </c>
      <c r="D327" s="6">
        <v>4.35</v>
      </c>
      <c r="E327" s="6">
        <v>0.6</v>
      </c>
      <c r="F327" s="6">
        <v>1.5</v>
      </c>
      <c r="G327" s="6">
        <v>0.1</v>
      </c>
      <c r="H327" s="6">
        <v>0.25</v>
      </c>
      <c r="I327" s="6">
        <v>0</v>
      </c>
      <c r="J327" s="6">
        <v>0.15</v>
      </c>
      <c r="K327" s="6">
        <v>0.05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8">
        <f t="shared" si="14"/>
        <v>92</v>
      </c>
      <c r="U327" s="7">
        <v>495</v>
      </c>
      <c r="V327" s="6">
        <v>25</v>
      </c>
      <c r="W327" s="6">
        <v>0</v>
      </c>
      <c r="X327" s="6" t="s">
        <v>42</v>
      </c>
      <c r="Y327" s="6" t="s">
        <v>73</v>
      </c>
      <c r="Z327" s="6" t="s">
        <v>37</v>
      </c>
      <c r="AA327" s="6" t="s">
        <v>80</v>
      </c>
      <c r="AB327" s="6" t="s">
        <v>37</v>
      </c>
      <c r="AC327" s="6" t="s">
        <v>59</v>
      </c>
      <c r="AD327" s="26" t="s">
        <v>86</v>
      </c>
      <c r="AE327" s="7">
        <v>260</v>
      </c>
      <c r="AF327" s="6">
        <v>415</v>
      </c>
      <c r="AG327" s="34">
        <v>8</v>
      </c>
      <c r="AH327" s="31" t="s">
        <v>54</v>
      </c>
    </row>
    <row r="328" ht="13.9" spans="1:34">
      <c r="A328" s="6">
        <v>2024</v>
      </c>
      <c r="B328" s="7">
        <v>0.5</v>
      </c>
      <c r="C328" s="6">
        <v>0.5</v>
      </c>
      <c r="D328" s="6">
        <v>4.35</v>
      </c>
      <c r="E328" s="6">
        <v>0.6</v>
      </c>
      <c r="F328" s="6">
        <v>1.5</v>
      </c>
      <c r="G328" s="6">
        <v>0.1</v>
      </c>
      <c r="H328" s="6">
        <v>0.25</v>
      </c>
      <c r="I328" s="6">
        <v>0</v>
      </c>
      <c r="J328" s="6">
        <v>0.15</v>
      </c>
      <c r="K328" s="6">
        <v>0.05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8">
        <f t="shared" si="14"/>
        <v>92</v>
      </c>
      <c r="U328" s="7">
        <v>495</v>
      </c>
      <c r="V328" s="6">
        <v>25</v>
      </c>
      <c r="W328" s="6">
        <v>0</v>
      </c>
      <c r="X328" s="6" t="s">
        <v>44</v>
      </c>
      <c r="Y328" s="6" t="s">
        <v>73</v>
      </c>
      <c r="Z328" s="6" t="s">
        <v>37</v>
      </c>
      <c r="AA328" s="6" t="s">
        <v>80</v>
      </c>
      <c r="AB328" s="6" t="s">
        <v>37</v>
      </c>
      <c r="AC328" s="6" t="s">
        <v>51</v>
      </c>
      <c r="AD328" s="26" t="s">
        <v>86</v>
      </c>
      <c r="AE328" s="7">
        <v>260</v>
      </c>
      <c r="AF328" s="6">
        <v>395</v>
      </c>
      <c r="AG328" s="34">
        <v>10</v>
      </c>
      <c r="AH328" s="31" t="s">
        <v>54</v>
      </c>
    </row>
    <row r="329" ht="13.9" spans="1:34">
      <c r="A329" s="6">
        <v>2024</v>
      </c>
      <c r="B329" s="7">
        <v>0.5</v>
      </c>
      <c r="C329" s="6">
        <v>0.5</v>
      </c>
      <c r="D329" s="6">
        <v>4.35</v>
      </c>
      <c r="E329" s="6">
        <v>0.6</v>
      </c>
      <c r="F329" s="6">
        <v>1.5</v>
      </c>
      <c r="G329" s="6">
        <v>0.1</v>
      </c>
      <c r="H329" s="6">
        <v>0.25</v>
      </c>
      <c r="I329" s="6">
        <v>0</v>
      </c>
      <c r="J329" s="6">
        <v>0.15</v>
      </c>
      <c r="K329" s="6">
        <v>0.05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8">
        <v>92</v>
      </c>
      <c r="U329" s="7">
        <v>495</v>
      </c>
      <c r="V329" s="6">
        <v>25</v>
      </c>
      <c r="W329" s="6">
        <v>0</v>
      </c>
      <c r="X329" s="6" t="s">
        <v>44</v>
      </c>
      <c r="Y329" s="6" t="s">
        <v>73</v>
      </c>
      <c r="Z329" s="6" t="s">
        <v>37</v>
      </c>
      <c r="AA329" s="6" t="s">
        <v>80</v>
      </c>
      <c r="AB329" s="6" t="s">
        <v>37</v>
      </c>
      <c r="AC329" s="6" t="s">
        <v>69</v>
      </c>
      <c r="AD329" s="26" t="s">
        <v>86</v>
      </c>
      <c r="AE329" s="7">
        <v>260</v>
      </c>
      <c r="AF329" s="6">
        <v>395</v>
      </c>
      <c r="AG329" s="34">
        <v>10</v>
      </c>
      <c r="AH329" s="31" t="s">
        <v>54</v>
      </c>
    </row>
    <row r="330" ht="13.9" spans="1:34">
      <c r="A330" s="6">
        <v>2024</v>
      </c>
      <c r="B330" s="7">
        <v>0.5</v>
      </c>
      <c r="C330" s="6">
        <v>0.5</v>
      </c>
      <c r="D330" s="6">
        <v>4.35</v>
      </c>
      <c r="E330" s="6">
        <v>0.6</v>
      </c>
      <c r="F330" s="6">
        <v>1.5</v>
      </c>
      <c r="G330" s="6">
        <v>0.1</v>
      </c>
      <c r="H330" s="6">
        <v>0.25</v>
      </c>
      <c r="I330" s="6">
        <v>0</v>
      </c>
      <c r="J330" s="6">
        <v>0.15</v>
      </c>
      <c r="K330" s="6">
        <v>0.05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8">
        <v>92</v>
      </c>
      <c r="U330" s="7">
        <v>495</v>
      </c>
      <c r="V330" s="6">
        <v>25</v>
      </c>
      <c r="W330" s="6">
        <v>0</v>
      </c>
      <c r="X330" s="6" t="s">
        <v>44</v>
      </c>
      <c r="Y330" s="6" t="s">
        <v>73</v>
      </c>
      <c r="Z330" s="6" t="s">
        <v>37</v>
      </c>
      <c r="AA330" s="6" t="s">
        <v>80</v>
      </c>
      <c r="AB330" s="6" t="s">
        <v>37</v>
      </c>
      <c r="AC330" s="6" t="s">
        <v>45</v>
      </c>
      <c r="AD330" s="26" t="s">
        <v>86</v>
      </c>
      <c r="AE330" s="7">
        <v>260</v>
      </c>
      <c r="AF330" s="6">
        <v>395</v>
      </c>
      <c r="AG330" s="34">
        <v>10</v>
      </c>
      <c r="AH330" s="31" t="s">
        <v>54</v>
      </c>
    </row>
    <row r="331" ht="13.9" spans="1:34">
      <c r="A331" s="6">
        <v>2024</v>
      </c>
      <c r="B331" s="7">
        <v>0.5</v>
      </c>
      <c r="C331" s="6">
        <v>0.5</v>
      </c>
      <c r="D331" s="6">
        <v>4.35</v>
      </c>
      <c r="E331" s="6">
        <v>0.6</v>
      </c>
      <c r="F331" s="6">
        <v>1.5</v>
      </c>
      <c r="G331" s="6">
        <v>0.1</v>
      </c>
      <c r="H331" s="6">
        <v>0.25</v>
      </c>
      <c r="I331" s="6">
        <v>0</v>
      </c>
      <c r="J331" s="6">
        <v>0.15</v>
      </c>
      <c r="K331" s="6">
        <v>0.05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8">
        <f>100-SUM(B331:S331)</f>
        <v>92</v>
      </c>
      <c r="U331" s="7">
        <v>413</v>
      </c>
      <c r="V331" s="6">
        <v>25</v>
      </c>
      <c r="W331" s="6">
        <v>0</v>
      </c>
      <c r="X331" s="6" t="s">
        <v>34</v>
      </c>
      <c r="Y331" s="6" t="s">
        <v>50</v>
      </c>
      <c r="Z331" s="6" t="s">
        <v>37</v>
      </c>
      <c r="AA331" s="6" t="s">
        <v>37</v>
      </c>
      <c r="AB331" s="6" t="s">
        <v>37</v>
      </c>
      <c r="AC331" s="6" t="s">
        <v>69</v>
      </c>
      <c r="AD331" s="26" t="s">
        <v>57</v>
      </c>
      <c r="AE331" s="7" t="s">
        <v>40</v>
      </c>
      <c r="AF331" s="6">
        <v>240</v>
      </c>
      <c r="AG331" s="10" t="s">
        <v>40</v>
      </c>
      <c r="AH331" s="31" t="s">
        <v>54</v>
      </c>
    </row>
    <row r="332" ht="13.9" spans="1:34">
      <c r="A332" s="6">
        <v>2024</v>
      </c>
      <c r="B332" s="7">
        <v>0.5</v>
      </c>
      <c r="C332" s="6">
        <v>0.5</v>
      </c>
      <c r="D332" s="6">
        <v>4.35</v>
      </c>
      <c r="E332" s="6">
        <v>0.6</v>
      </c>
      <c r="F332" s="6">
        <v>1.5</v>
      </c>
      <c r="G332" s="6">
        <v>0.1</v>
      </c>
      <c r="H332" s="6">
        <v>0.25</v>
      </c>
      <c r="I332" s="6">
        <v>0</v>
      </c>
      <c r="J332" s="6">
        <v>0.15</v>
      </c>
      <c r="K332" s="6">
        <v>0.05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8">
        <f>100-SUM(B332:S332)</f>
        <v>92</v>
      </c>
      <c r="U332" s="7">
        <v>413</v>
      </c>
      <c r="V332" s="6">
        <v>25</v>
      </c>
      <c r="W332" s="6">
        <v>0</v>
      </c>
      <c r="X332" s="6" t="s">
        <v>42</v>
      </c>
      <c r="Y332" s="6" t="s">
        <v>50</v>
      </c>
      <c r="Z332" s="6" t="s">
        <v>37</v>
      </c>
      <c r="AA332" s="6" t="s">
        <v>37</v>
      </c>
      <c r="AB332" s="6" t="s">
        <v>37</v>
      </c>
      <c r="AC332" s="6" t="s">
        <v>51</v>
      </c>
      <c r="AD332" s="26" t="s">
        <v>57</v>
      </c>
      <c r="AE332" s="7" t="s">
        <v>40</v>
      </c>
      <c r="AF332" s="6">
        <v>240</v>
      </c>
      <c r="AG332" s="10">
        <v>16</v>
      </c>
      <c r="AH332" s="31" t="s">
        <v>54</v>
      </c>
    </row>
    <row r="333" ht="13.9" spans="1:34">
      <c r="A333" s="6">
        <v>2024</v>
      </c>
      <c r="B333" s="7">
        <v>0.5</v>
      </c>
      <c r="C333" s="6">
        <v>0.5</v>
      </c>
      <c r="D333" s="6">
        <v>4.35</v>
      </c>
      <c r="E333" s="6">
        <v>0.6</v>
      </c>
      <c r="F333" s="6">
        <v>1.5</v>
      </c>
      <c r="G333" s="6">
        <v>0.1</v>
      </c>
      <c r="H333" s="6">
        <v>0.25</v>
      </c>
      <c r="I333" s="6">
        <v>0</v>
      </c>
      <c r="J333" s="6">
        <v>0.15</v>
      </c>
      <c r="K333" s="6">
        <v>0.05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8">
        <f>100-SUM(B333:S333)</f>
        <v>92</v>
      </c>
      <c r="U333" s="7">
        <v>413</v>
      </c>
      <c r="V333" s="6">
        <v>25</v>
      </c>
      <c r="W333" s="6">
        <v>0</v>
      </c>
      <c r="X333" s="6" t="s">
        <v>42</v>
      </c>
      <c r="Y333" s="6" t="s">
        <v>50</v>
      </c>
      <c r="Z333" s="6" t="s">
        <v>37</v>
      </c>
      <c r="AA333" s="6" t="s">
        <v>37</v>
      </c>
      <c r="AB333" s="6" t="s">
        <v>37</v>
      </c>
      <c r="AC333" s="6" t="s">
        <v>38</v>
      </c>
      <c r="AD333" s="26" t="s">
        <v>57</v>
      </c>
      <c r="AE333" s="7" t="s">
        <v>40</v>
      </c>
      <c r="AF333" s="6">
        <v>240</v>
      </c>
      <c r="AG333" s="34">
        <v>16</v>
      </c>
      <c r="AH333" s="31" t="s">
        <v>54</v>
      </c>
    </row>
    <row r="334" ht="13.9" spans="1:34">
      <c r="A334" s="6">
        <v>2024</v>
      </c>
      <c r="B334" s="7">
        <v>0.5</v>
      </c>
      <c r="C334" s="6">
        <v>0.5</v>
      </c>
      <c r="D334" s="6">
        <v>4.35</v>
      </c>
      <c r="E334" s="6">
        <v>0.6</v>
      </c>
      <c r="F334" s="6">
        <v>1.5</v>
      </c>
      <c r="G334" s="6">
        <v>0.1</v>
      </c>
      <c r="H334" s="6">
        <v>0.25</v>
      </c>
      <c r="I334" s="6">
        <v>0</v>
      </c>
      <c r="J334" s="6">
        <v>0.15</v>
      </c>
      <c r="K334" s="6">
        <v>0.05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8">
        <v>92</v>
      </c>
      <c r="U334" s="7">
        <v>413</v>
      </c>
      <c r="V334" s="6">
        <v>25</v>
      </c>
      <c r="W334" s="6">
        <v>0</v>
      </c>
      <c r="X334" s="6" t="s">
        <v>34</v>
      </c>
      <c r="Y334" s="6" t="s">
        <v>50</v>
      </c>
      <c r="Z334" s="6" t="s">
        <v>37</v>
      </c>
      <c r="AA334" s="6" t="s">
        <v>37</v>
      </c>
      <c r="AB334" s="6" t="s">
        <v>37</v>
      </c>
      <c r="AC334" s="6" t="s">
        <v>38</v>
      </c>
      <c r="AD334" s="26" t="s">
        <v>57</v>
      </c>
      <c r="AE334" s="7" t="s">
        <v>40</v>
      </c>
      <c r="AF334" s="6">
        <v>240</v>
      </c>
      <c r="AG334" s="10" t="s">
        <v>40</v>
      </c>
      <c r="AH334" s="31" t="s">
        <v>54</v>
      </c>
    </row>
    <row r="335" ht="13.9" spans="1:34">
      <c r="A335" s="6">
        <v>2024</v>
      </c>
      <c r="B335" s="7">
        <v>0.5</v>
      </c>
      <c r="C335" s="6">
        <v>0.5</v>
      </c>
      <c r="D335" s="6">
        <v>4.35</v>
      </c>
      <c r="E335" s="6">
        <v>0.6</v>
      </c>
      <c r="F335" s="6">
        <v>1.5</v>
      </c>
      <c r="G335" s="6">
        <v>0.1</v>
      </c>
      <c r="H335" s="6">
        <v>0.25</v>
      </c>
      <c r="I335" s="6">
        <v>0</v>
      </c>
      <c r="J335" s="6">
        <v>0.15</v>
      </c>
      <c r="K335" s="6">
        <v>0.05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8">
        <f>100-SUM(B335:S335)</f>
        <v>92</v>
      </c>
      <c r="U335" s="7">
        <v>413</v>
      </c>
      <c r="V335" s="6">
        <v>25</v>
      </c>
      <c r="W335" s="6">
        <v>0</v>
      </c>
      <c r="X335" s="6" t="s">
        <v>44</v>
      </c>
      <c r="Y335" s="6" t="s">
        <v>50</v>
      </c>
      <c r="Z335" s="6" t="s">
        <v>37</v>
      </c>
      <c r="AA335" s="6" t="s">
        <v>37</v>
      </c>
      <c r="AB335" s="6" t="s">
        <v>37</v>
      </c>
      <c r="AC335" s="6" t="s">
        <v>51</v>
      </c>
      <c r="AD335" s="26" t="s">
        <v>57</v>
      </c>
      <c r="AE335" s="7">
        <v>130</v>
      </c>
      <c r="AF335" s="6">
        <v>240</v>
      </c>
      <c r="AG335" s="34">
        <v>12</v>
      </c>
      <c r="AH335" s="31" t="s">
        <v>54</v>
      </c>
    </row>
    <row r="336" ht="13.9" spans="1:34">
      <c r="A336" s="6">
        <v>2024</v>
      </c>
      <c r="B336" s="7">
        <v>0.5</v>
      </c>
      <c r="C336" s="6">
        <v>0.5</v>
      </c>
      <c r="D336" s="6">
        <v>4.35</v>
      </c>
      <c r="E336" s="6">
        <v>0.6</v>
      </c>
      <c r="F336" s="6">
        <v>1.5</v>
      </c>
      <c r="G336" s="6">
        <v>0.1</v>
      </c>
      <c r="H336" s="6">
        <v>0.25</v>
      </c>
      <c r="I336" s="6">
        <v>0</v>
      </c>
      <c r="J336" s="6">
        <v>0.15</v>
      </c>
      <c r="K336" s="6">
        <v>0.05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8">
        <v>92</v>
      </c>
      <c r="U336" s="7">
        <v>413</v>
      </c>
      <c r="V336" s="6">
        <v>25</v>
      </c>
      <c r="W336" s="6">
        <v>0</v>
      </c>
      <c r="X336" s="6" t="s">
        <v>44</v>
      </c>
      <c r="Y336" s="6" t="s">
        <v>50</v>
      </c>
      <c r="Z336" s="6" t="s">
        <v>37</v>
      </c>
      <c r="AA336" s="6" t="s">
        <v>37</v>
      </c>
      <c r="AB336" s="6" t="s">
        <v>37</v>
      </c>
      <c r="AC336" s="6" t="s">
        <v>69</v>
      </c>
      <c r="AD336" s="26" t="s">
        <v>57</v>
      </c>
      <c r="AE336" s="7">
        <v>130</v>
      </c>
      <c r="AF336" s="6">
        <v>240</v>
      </c>
      <c r="AG336" s="34">
        <v>12</v>
      </c>
      <c r="AH336" s="31" t="s">
        <v>54</v>
      </c>
    </row>
    <row r="337" ht="13.9" spans="1:34">
      <c r="A337" s="6">
        <v>2024</v>
      </c>
      <c r="B337" s="7">
        <v>0.5</v>
      </c>
      <c r="C337" s="6">
        <v>0.5</v>
      </c>
      <c r="D337" s="6">
        <v>4.35</v>
      </c>
      <c r="E337" s="6">
        <v>0.6</v>
      </c>
      <c r="F337" s="6">
        <v>1.5</v>
      </c>
      <c r="G337" s="6">
        <v>0.1</v>
      </c>
      <c r="H337" s="6">
        <v>0.25</v>
      </c>
      <c r="I337" s="6">
        <v>0</v>
      </c>
      <c r="J337" s="6">
        <v>0.15</v>
      </c>
      <c r="K337" s="6">
        <v>0.05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8">
        <v>92</v>
      </c>
      <c r="U337" s="7">
        <v>413</v>
      </c>
      <c r="V337" s="6">
        <v>25</v>
      </c>
      <c r="W337" s="6">
        <v>0</v>
      </c>
      <c r="X337" s="6" t="s">
        <v>44</v>
      </c>
      <c r="Y337" s="6" t="s">
        <v>50</v>
      </c>
      <c r="Z337" s="6" t="s">
        <v>37</v>
      </c>
      <c r="AA337" s="6" t="s">
        <v>37</v>
      </c>
      <c r="AB337" s="6" t="s">
        <v>37</v>
      </c>
      <c r="AC337" s="6" t="s">
        <v>45</v>
      </c>
      <c r="AD337" s="26" t="s">
        <v>57</v>
      </c>
      <c r="AE337" s="7">
        <v>130</v>
      </c>
      <c r="AF337" s="6">
        <v>240</v>
      </c>
      <c r="AG337" s="34">
        <v>12</v>
      </c>
      <c r="AH337" s="31" t="s">
        <v>54</v>
      </c>
    </row>
    <row r="338" ht="13.9" spans="1:34">
      <c r="A338" s="6">
        <v>2024</v>
      </c>
      <c r="B338" s="7">
        <v>0.5</v>
      </c>
      <c r="C338" s="6">
        <v>0.5</v>
      </c>
      <c r="D338" s="6">
        <v>4.35</v>
      </c>
      <c r="E338" s="6">
        <v>0.6</v>
      </c>
      <c r="F338" s="6">
        <v>1.5</v>
      </c>
      <c r="G338" s="6">
        <v>0.1</v>
      </c>
      <c r="H338" s="6">
        <v>0.25</v>
      </c>
      <c r="I338" s="6">
        <v>0</v>
      </c>
      <c r="J338" s="6">
        <v>0.15</v>
      </c>
      <c r="K338" s="6">
        <v>0.05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8">
        <f t="shared" ref="T338:T369" si="15">100-SUM(B338:S338)</f>
        <v>92</v>
      </c>
      <c r="U338" s="7">
        <v>413</v>
      </c>
      <c r="V338" s="6">
        <v>25</v>
      </c>
      <c r="W338" s="6">
        <v>0</v>
      </c>
      <c r="X338" s="6" t="s">
        <v>34</v>
      </c>
      <c r="Y338" s="6" t="s">
        <v>50</v>
      </c>
      <c r="Z338" s="6" t="s">
        <v>37</v>
      </c>
      <c r="AA338" s="6" t="s">
        <v>37</v>
      </c>
      <c r="AB338" s="6" t="s">
        <v>37</v>
      </c>
      <c r="AC338" s="6" t="s">
        <v>45</v>
      </c>
      <c r="AD338" s="26" t="s">
        <v>57</v>
      </c>
      <c r="AE338" s="7">
        <v>105</v>
      </c>
      <c r="AF338" s="6">
        <v>220</v>
      </c>
      <c r="AG338" s="34" t="s">
        <v>40</v>
      </c>
      <c r="AH338" s="31" t="s">
        <v>54</v>
      </c>
    </row>
    <row r="339" ht="13.9" spans="1:34">
      <c r="A339" s="6">
        <v>2024</v>
      </c>
      <c r="B339" s="7">
        <v>0.5</v>
      </c>
      <c r="C339" s="6">
        <v>0.5</v>
      </c>
      <c r="D339" s="6">
        <v>4.35</v>
      </c>
      <c r="E339" s="6">
        <v>0.6</v>
      </c>
      <c r="F339" s="6">
        <v>1.5</v>
      </c>
      <c r="G339" s="6">
        <v>0.1</v>
      </c>
      <c r="H339" s="6">
        <v>0.25</v>
      </c>
      <c r="I339" s="6">
        <v>0</v>
      </c>
      <c r="J339" s="6">
        <v>0.15</v>
      </c>
      <c r="K339" s="6">
        <v>0.05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8">
        <f t="shared" si="15"/>
        <v>92</v>
      </c>
      <c r="U339" s="7">
        <v>413</v>
      </c>
      <c r="V339" s="6">
        <v>25</v>
      </c>
      <c r="W339" s="6">
        <v>0</v>
      </c>
      <c r="X339" s="6" t="s">
        <v>42</v>
      </c>
      <c r="Y339" s="6" t="s">
        <v>50</v>
      </c>
      <c r="Z339" s="6" t="s">
        <v>37</v>
      </c>
      <c r="AA339" s="6" t="s">
        <v>37</v>
      </c>
      <c r="AB339" s="6" t="s">
        <v>37</v>
      </c>
      <c r="AC339" s="6" t="s">
        <v>59</v>
      </c>
      <c r="AD339" s="26" t="s">
        <v>57</v>
      </c>
      <c r="AE339" s="7">
        <v>95</v>
      </c>
      <c r="AF339" s="6">
        <v>220</v>
      </c>
      <c r="AG339" s="34">
        <v>12</v>
      </c>
      <c r="AH339" s="31" t="s">
        <v>54</v>
      </c>
    </row>
    <row r="340" ht="13.9" spans="1:34">
      <c r="A340" s="6">
        <v>2024</v>
      </c>
      <c r="B340" s="7">
        <v>0.5</v>
      </c>
      <c r="C340" s="6">
        <v>0.5</v>
      </c>
      <c r="D340" s="6">
        <v>4.35</v>
      </c>
      <c r="E340" s="6">
        <v>0.6</v>
      </c>
      <c r="F340" s="6">
        <v>1.5</v>
      </c>
      <c r="G340" s="6">
        <v>0.1</v>
      </c>
      <c r="H340" s="6">
        <v>0.25</v>
      </c>
      <c r="I340" s="6">
        <v>0</v>
      </c>
      <c r="J340" s="6">
        <v>0.15</v>
      </c>
      <c r="K340" s="6">
        <v>0.05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8">
        <f t="shared" si="15"/>
        <v>92</v>
      </c>
      <c r="U340" s="7">
        <v>413</v>
      </c>
      <c r="V340" s="6">
        <v>25</v>
      </c>
      <c r="W340" s="6">
        <v>0</v>
      </c>
      <c r="X340" s="6" t="s">
        <v>42</v>
      </c>
      <c r="Y340" s="6" t="s">
        <v>50</v>
      </c>
      <c r="Z340" s="6" t="s">
        <v>37</v>
      </c>
      <c r="AA340" s="6" t="s">
        <v>37</v>
      </c>
      <c r="AB340" s="6" t="s">
        <v>37</v>
      </c>
      <c r="AC340" s="6" t="s">
        <v>43</v>
      </c>
      <c r="AD340" s="26" t="s">
        <v>57</v>
      </c>
      <c r="AE340" s="7">
        <v>85</v>
      </c>
      <c r="AF340" s="6">
        <v>203</v>
      </c>
      <c r="AG340" s="34">
        <v>16</v>
      </c>
      <c r="AH340" s="31" t="s">
        <v>54</v>
      </c>
    </row>
    <row r="341" ht="13.9" spans="1:34">
      <c r="A341" s="6">
        <v>2024</v>
      </c>
      <c r="B341" s="7">
        <v>0.1</v>
      </c>
      <c r="C341" s="6">
        <v>0.2</v>
      </c>
      <c r="D341" s="6">
        <v>4.2</v>
      </c>
      <c r="E341" s="6">
        <v>0.91</v>
      </c>
      <c r="F341" s="6">
        <v>1.4</v>
      </c>
      <c r="G341" s="6">
        <v>0</v>
      </c>
      <c r="H341" s="6">
        <v>0.03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8">
        <f t="shared" si="15"/>
        <v>93.16</v>
      </c>
      <c r="U341" s="7">
        <v>520</v>
      </c>
      <c r="V341" s="6">
        <v>25</v>
      </c>
      <c r="W341" s="6">
        <v>300</v>
      </c>
      <c r="X341" s="6" t="s">
        <v>42</v>
      </c>
      <c r="Y341" s="6" t="s">
        <v>73</v>
      </c>
      <c r="Z341" s="6" t="s">
        <v>37</v>
      </c>
      <c r="AA341" s="6" t="s">
        <v>80</v>
      </c>
      <c r="AB341" s="6" t="s">
        <v>37</v>
      </c>
      <c r="AC341" s="6" t="s">
        <v>51</v>
      </c>
      <c r="AD341" s="26" t="s">
        <v>86</v>
      </c>
      <c r="AE341" s="7">
        <v>259</v>
      </c>
      <c r="AF341" s="6">
        <v>510</v>
      </c>
      <c r="AG341" s="10">
        <v>16.1</v>
      </c>
      <c r="AH341" s="11" t="s">
        <v>120</v>
      </c>
    </row>
    <row r="342" ht="13.9" spans="1:34">
      <c r="A342" s="6">
        <v>2024</v>
      </c>
      <c r="B342" s="7">
        <v>0.1</v>
      </c>
      <c r="C342" s="6">
        <v>0.2</v>
      </c>
      <c r="D342" s="6">
        <v>4.2</v>
      </c>
      <c r="E342" s="6">
        <v>0.91</v>
      </c>
      <c r="F342" s="6">
        <v>1.4</v>
      </c>
      <c r="G342" s="6">
        <v>0</v>
      </c>
      <c r="H342" s="6">
        <v>0.03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8">
        <f t="shared" si="15"/>
        <v>93.16</v>
      </c>
      <c r="U342" s="7">
        <v>540</v>
      </c>
      <c r="V342" s="6">
        <v>25</v>
      </c>
      <c r="W342" s="6">
        <v>300</v>
      </c>
      <c r="X342" s="6" t="s">
        <v>42</v>
      </c>
      <c r="Y342" s="6" t="s">
        <v>73</v>
      </c>
      <c r="Z342" s="6" t="s">
        <v>37</v>
      </c>
      <c r="AA342" s="6" t="s">
        <v>80</v>
      </c>
      <c r="AB342" s="6" t="s">
        <v>37</v>
      </c>
      <c r="AC342" s="6" t="s">
        <v>51</v>
      </c>
      <c r="AD342" s="26" t="s">
        <v>86</v>
      </c>
      <c r="AE342" s="7">
        <v>237</v>
      </c>
      <c r="AF342" s="6">
        <v>462</v>
      </c>
      <c r="AG342" s="10">
        <v>19.3</v>
      </c>
      <c r="AH342" s="11" t="s">
        <v>120</v>
      </c>
    </row>
    <row r="343" ht="13.9" spans="1:34">
      <c r="A343" s="6">
        <v>2024</v>
      </c>
      <c r="B343" s="7">
        <v>0.1</v>
      </c>
      <c r="C343" s="6">
        <v>0.2</v>
      </c>
      <c r="D343" s="6">
        <v>4.2</v>
      </c>
      <c r="E343" s="6">
        <v>0.91</v>
      </c>
      <c r="F343" s="6">
        <v>1.4</v>
      </c>
      <c r="G343" s="6">
        <v>0</v>
      </c>
      <c r="H343" s="6">
        <v>0.03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8">
        <f t="shared" si="15"/>
        <v>93.16</v>
      </c>
      <c r="U343" s="7">
        <v>560</v>
      </c>
      <c r="V343" s="6">
        <v>25</v>
      </c>
      <c r="W343" s="6">
        <v>300</v>
      </c>
      <c r="X343" s="6" t="s">
        <v>42</v>
      </c>
      <c r="Y343" s="6" t="s">
        <v>73</v>
      </c>
      <c r="Z343" s="6" t="s">
        <v>37</v>
      </c>
      <c r="AA343" s="6" t="s">
        <v>80</v>
      </c>
      <c r="AB343" s="6" t="s">
        <v>37</v>
      </c>
      <c r="AC343" s="6" t="s">
        <v>51</v>
      </c>
      <c r="AD343" s="26" t="s">
        <v>86</v>
      </c>
      <c r="AE343" s="7">
        <v>209</v>
      </c>
      <c r="AF343" s="6">
        <v>391</v>
      </c>
      <c r="AG343" s="10">
        <v>25.8</v>
      </c>
      <c r="AH343" s="11" t="s">
        <v>120</v>
      </c>
    </row>
    <row r="344" ht="13.9" spans="1:34">
      <c r="A344" s="6">
        <v>2024</v>
      </c>
      <c r="B344" s="7">
        <v>0.29</v>
      </c>
      <c r="C344" s="6">
        <v>0.42</v>
      </c>
      <c r="D344" s="6">
        <v>4.2</v>
      </c>
      <c r="E344" s="6">
        <v>0.63</v>
      </c>
      <c r="F344" s="6">
        <v>1.26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8">
        <f t="shared" si="15"/>
        <v>93.2</v>
      </c>
      <c r="U344" s="7">
        <v>500</v>
      </c>
      <c r="V344" s="6">
        <v>100</v>
      </c>
      <c r="W344" s="6">
        <v>25</v>
      </c>
      <c r="X344" s="6" t="s">
        <v>44</v>
      </c>
      <c r="Y344" s="6" t="s">
        <v>73</v>
      </c>
      <c r="Z344" s="6" t="s">
        <v>37</v>
      </c>
      <c r="AA344" s="6" t="s">
        <v>74</v>
      </c>
      <c r="AB344" s="6" t="s">
        <v>37</v>
      </c>
      <c r="AC344" s="6" t="s">
        <v>69</v>
      </c>
      <c r="AD344" s="26" t="s">
        <v>77</v>
      </c>
      <c r="AE344" s="7">
        <v>414</v>
      </c>
      <c r="AF344" s="6">
        <v>578</v>
      </c>
      <c r="AG344" s="10">
        <v>15.8</v>
      </c>
      <c r="AH344" s="31" t="s">
        <v>121</v>
      </c>
    </row>
    <row r="345" ht="13.9" spans="1:34">
      <c r="A345" s="6">
        <v>2024</v>
      </c>
      <c r="B345" s="7">
        <v>0.29</v>
      </c>
      <c r="C345" s="6">
        <v>0.42</v>
      </c>
      <c r="D345" s="6">
        <v>4.2</v>
      </c>
      <c r="E345" s="6">
        <v>0.63</v>
      </c>
      <c r="F345" s="6">
        <v>1.26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8">
        <f t="shared" si="15"/>
        <v>93.2</v>
      </c>
      <c r="U345" s="7">
        <v>500</v>
      </c>
      <c r="V345" s="6">
        <v>25</v>
      </c>
      <c r="W345" s="6">
        <v>72</v>
      </c>
      <c r="X345" s="6" t="s">
        <v>44</v>
      </c>
      <c r="Y345" s="6" t="s">
        <v>73</v>
      </c>
      <c r="Z345" s="6" t="s">
        <v>37</v>
      </c>
      <c r="AA345" s="6" t="s">
        <v>80</v>
      </c>
      <c r="AB345" s="6" t="s">
        <v>37</v>
      </c>
      <c r="AC345" s="6" t="s">
        <v>69</v>
      </c>
      <c r="AD345" s="26" t="s">
        <v>86</v>
      </c>
      <c r="AE345" s="7">
        <v>385</v>
      </c>
      <c r="AF345" s="6">
        <v>552</v>
      </c>
      <c r="AG345" s="10">
        <v>11.8</v>
      </c>
      <c r="AH345" s="31" t="s">
        <v>121</v>
      </c>
    </row>
    <row r="346" ht="13.9" spans="1:34">
      <c r="A346" s="6">
        <v>2024</v>
      </c>
      <c r="B346" s="7">
        <v>0.29</v>
      </c>
      <c r="C346" s="6">
        <v>0.42</v>
      </c>
      <c r="D346" s="6">
        <v>4.2</v>
      </c>
      <c r="E346" s="6">
        <v>0.63</v>
      </c>
      <c r="F346" s="6">
        <v>1.26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8">
        <f t="shared" si="15"/>
        <v>93.2</v>
      </c>
      <c r="U346" s="7">
        <v>500</v>
      </c>
      <c r="V346" s="6">
        <v>25</v>
      </c>
      <c r="W346" s="6">
        <v>0</v>
      </c>
      <c r="X346" s="6" t="s">
        <v>44</v>
      </c>
      <c r="Y346" s="6" t="s">
        <v>73</v>
      </c>
      <c r="Z346" s="6" t="s">
        <v>37</v>
      </c>
      <c r="AA346" s="6" t="s">
        <v>80</v>
      </c>
      <c r="AB346" s="6" t="s">
        <v>37</v>
      </c>
      <c r="AC346" s="6" t="s">
        <v>69</v>
      </c>
      <c r="AD346" s="26" t="s">
        <v>86</v>
      </c>
      <c r="AE346" s="7">
        <v>185</v>
      </c>
      <c r="AF346" s="6">
        <v>393</v>
      </c>
      <c r="AG346" s="10">
        <v>18.5</v>
      </c>
      <c r="AH346" s="31" t="s">
        <v>121</v>
      </c>
    </row>
    <row r="347" ht="13.9" spans="1:34">
      <c r="A347" s="6">
        <v>2024</v>
      </c>
      <c r="B347" s="7">
        <v>0.3</v>
      </c>
      <c r="C347" s="6">
        <v>0.4</v>
      </c>
      <c r="D347" s="6">
        <v>4.4</v>
      </c>
      <c r="E347" s="6">
        <v>0.6</v>
      </c>
      <c r="F347" s="6">
        <v>1.6</v>
      </c>
      <c r="G347" s="6">
        <v>0.1</v>
      </c>
      <c r="H347" s="6">
        <v>0.2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8">
        <f t="shared" si="15"/>
        <v>92.4</v>
      </c>
      <c r="U347" s="7">
        <v>495</v>
      </c>
      <c r="V347" s="6">
        <v>190</v>
      </c>
      <c r="W347" s="6">
        <v>12</v>
      </c>
      <c r="X347" s="6" t="s">
        <v>99</v>
      </c>
      <c r="Y347" s="6" t="s">
        <v>73</v>
      </c>
      <c r="Z347" s="6" t="s">
        <v>37</v>
      </c>
      <c r="AA347" s="6" t="s">
        <v>74</v>
      </c>
      <c r="AB347" s="6" t="s">
        <v>37</v>
      </c>
      <c r="AC347" s="6" t="s">
        <v>97</v>
      </c>
      <c r="AD347" s="26" t="s">
        <v>77</v>
      </c>
      <c r="AE347" s="7">
        <v>257</v>
      </c>
      <c r="AF347" s="6">
        <v>377</v>
      </c>
      <c r="AG347" s="34">
        <v>15.1</v>
      </c>
      <c r="AH347" s="31" t="s">
        <v>122</v>
      </c>
    </row>
    <row r="348" ht="13.9" spans="1:34">
      <c r="A348" s="6">
        <v>2024</v>
      </c>
      <c r="B348" s="7">
        <v>0.5</v>
      </c>
      <c r="C348" s="6">
        <v>0.5</v>
      </c>
      <c r="D348" s="6">
        <v>4.35</v>
      </c>
      <c r="E348" s="6">
        <v>0.6</v>
      </c>
      <c r="F348" s="6">
        <v>1.5</v>
      </c>
      <c r="G348" s="6">
        <v>0.1</v>
      </c>
      <c r="H348" s="6">
        <v>0.25</v>
      </c>
      <c r="I348" s="6">
        <v>0</v>
      </c>
      <c r="J348" s="6">
        <v>0.15</v>
      </c>
      <c r="K348" s="6">
        <v>0.05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8">
        <f t="shared" si="15"/>
        <v>92</v>
      </c>
      <c r="U348" s="7">
        <v>413</v>
      </c>
      <c r="V348" s="6">
        <v>25</v>
      </c>
      <c r="W348" s="6">
        <v>0</v>
      </c>
      <c r="X348" s="6" t="s">
        <v>42</v>
      </c>
      <c r="Y348" s="6" t="s">
        <v>50</v>
      </c>
      <c r="Z348" s="6" t="s">
        <v>37</v>
      </c>
      <c r="AA348" s="6" t="s">
        <v>37</v>
      </c>
      <c r="AB348" s="6" t="s">
        <v>37</v>
      </c>
      <c r="AC348" s="6" t="s">
        <v>69</v>
      </c>
      <c r="AD348" s="26" t="s">
        <v>57</v>
      </c>
      <c r="AE348" s="7">
        <v>120</v>
      </c>
      <c r="AF348" s="6">
        <v>240</v>
      </c>
      <c r="AG348" s="10">
        <v>25.5</v>
      </c>
      <c r="AH348" s="31" t="s">
        <v>123</v>
      </c>
    </row>
    <row r="349" ht="13.9" spans="1:34">
      <c r="A349" s="6">
        <v>2024</v>
      </c>
      <c r="B349" s="7">
        <v>0.2</v>
      </c>
      <c r="C349" s="6">
        <v>0.5</v>
      </c>
      <c r="D349" s="6">
        <v>4.1</v>
      </c>
      <c r="E349" s="6">
        <v>0.6</v>
      </c>
      <c r="F349" s="6">
        <v>1.2</v>
      </c>
      <c r="G349" s="6">
        <v>0.1</v>
      </c>
      <c r="H349" s="6">
        <v>0.1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8">
        <f t="shared" si="15"/>
        <v>93.2</v>
      </c>
      <c r="U349" s="7">
        <v>500</v>
      </c>
      <c r="V349" s="6">
        <v>100</v>
      </c>
      <c r="W349" s="6">
        <v>20</v>
      </c>
      <c r="X349" s="6" t="s">
        <v>44</v>
      </c>
      <c r="Y349" s="6" t="s">
        <v>73</v>
      </c>
      <c r="Z349" s="6" t="s">
        <v>37</v>
      </c>
      <c r="AA349" s="6" t="s">
        <v>74</v>
      </c>
      <c r="AB349" s="6" t="s">
        <v>37</v>
      </c>
      <c r="AC349" s="6" t="s">
        <v>69</v>
      </c>
      <c r="AD349" s="26" t="s">
        <v>77</v>
      </c>
      <c r="AE349" s="7">
        <v>421</v>
      </c>
      <c r="AF349" s="6">
        <v>609</v>
      </c>
      <c r="AG349" s="10">
        <v>20</v>
      </c>
      <c r="AH349" s="31" t="s">
        <v>124</v>
      </c>
    </row>
    <row r="350" ht="13.9" spans="1:34">
      <c r="A350" s="6">
        <v>2024</v>
      </c>
      <c r="B350" s="7">
        <v>0.2</v>
      </c>
      <c r="C350" s="6">
        <v>0.5</v>
      </c>
      <c r="D350" s="6">
        <v>4.1</v>
      </c>
      <c r="E350" s="6">
        <v>0.6</v>
      </c>
      <c r="F350" s="6">
        <v>1.2</v>
      </c>
      <c r="G350" s="6">
        <v>0.1</v>
      </c>
      <c r="H350" s="6">
        <v>0.1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8">
        <f t="shared" si="15"/>
        <v>93.2</v>
      </c>
      <c r="U350" s="7">
        <v>500</v>
      </c>
      <c r="V350" s="6">
        <v>100</v>
      </c>
      <c r="W350" s="6">
        <v>30</v>
      </c>
      <c r="X350" s="6" t="s">
        <v>44</v>
      </c>
      <c r="Y350" s="6" t="s">
        <v>73</v>
      </c>
      <c r="Z350" s="6" t="s">
        <v>37</v>
      </c>
      <c r="AA350" s="6" t="s">
        <v>74</v>
      </c>
      <c r="AB350" s="6" t="s">
        <v>37</v>
      </c>
      <c r="AC350" s="6" t="s">
        <v>69</v>
      </c>
      <c r="AD350" s="26" t="s">
        <v>77</v>
      </c>
      <c r="AE350" s="7">
        <v>410</v>
      </c>
      <c r="AF350" s="6">
        <v>589</v>
      </c>
      <c r="AG350" s="10">
        <v>19</v>
      </c>
      <c r="AH350" s="31" t="s">
        <v>124</v>
      </c>
    </row>
    <row r="351" ht="13.9" spans="1:34">
      <c r="A351" s="6">
        <v>2024</v>
      </c>
      <c r="B351" s="7">
        <v>0.2</v>
      </c>
      <c r="C351" s="6">
        <v>0.5</v>
      </c>
      <c r="D351" s="6">
        <v>4.1</v>
      </c>
      <c r="E351" s="6">
        <v>0.6</v>
      </c>
      <c r="F351" s="6">
        <v>1.2</v>
      </c>
      <c r="G351" s="6">
        <v>0.1</v>
      </c>
      <c r="H351" s="6">
        <v>0.1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8">
        <f t="shared" si="15"/>
        <v>93.2</v>
      </c>
      <c r="U351" s="7">
        <v>500</v>
      </c>
      <c r="V351" s="6">
        <v>25</v>
      </c>
      <c r="W351" s="6">
        <v>0</v>
      </c>
      <c r="X351" s="6" t="s">
        <v>44</v>
      </c>
      <c r="Y351" s="6" t="s">
        <v>73</v>
      </c>
      <c r="Z351" s="6" t="s">
        <v>37</v>
      </c>
      <c r="AA351" s="6" t="s">
        <v>80</v>
      </c>
      <c r="AB351" s="6" t="s">
        <v>37</v>
      </c>
      <c r="AC351" s="6" t="s">
        <v>69</v>
      </c>
      <c r="AD351" s="26" t="s">
        <v>86</v>
      </c>
      <c r="AE351" s="7">
        <v>330</v>
      </c>
      <c r="AF351" s="6">
        <v>532</v>
      </c>
      <c r="AG351" s="10">
        <v>28</v>
      </c>
      <c r="AH351" s="31" t="s">
        <v>124</v>
      </c>
    </row>
    <row r="352" ht="13.9" spans="1:34">
      <c r="A352" s="6">
        <v>2024</v>
      </c>
      <c r="B352" s="7">
        <v>0.2</v>
      </c>
      <c r="C352" s="6">
        <v>0.5</v>
      </c>
      <c r="D352" s="6">
        <v>4.1</v>
      </c>
      <c r="E352" s="6">
        <v>0.6</v>
      </c>
      <c r="F352" s="6">
        <v>1.2</v>
      </c>
      <c r="G352" s="6">
        <v>0.1</v>
      </c>
      <c r="H352" s="6">
        <v>0.1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8">
        <f t="shared" si="15"/>
        <v>93.2</v>
      </c>
      <c r="U352" s="7">
        <v>500</v>
      </c>
      <c r="V352" s="6">
        <v>100</v>
      </c>
      <c r="W352" s="6">
        <v>10</v>
      </c>
      <c r="X352" s="6" t="s">
        <v>44</v>
      </c>
      <c r="Y352" s="6" t="s">
        <v>73</v>
      </c>
      <c r="Z352" s="6" t="s">
        <v>37</v>
      </c>
      <c r="AA352" s="6" t="s">
        <v>74</v>
      </c>
      <c r="AB352" s="6" t="s">
        <v>37</v>
      </c>
      <c r="AC352" s="6" t="s">
        <v>69</v>
      </c>
      <c r="AD352" s="26" t="s">
        <v>77</v>
      </c>
      <c r="AE352" s="7">
        <v>329</v>
      </c>
      <c r="AF352" s="6">
        <v>528</v>
      </c>
      <c r="AG352" s="34">
        <v>24</v>
      </c>
      <c r="AH352" s="31" t="s">
        <v>124</v>
      </c>
    </row>
    <row r="353" ht="13.9" spans="1:34">
      <c r="A353" s="6">
        <v>2024</v>
      </c>
      <c r="B353" s="7">
        <v>0.3</v>
      </c>
      <c r="C353" s="6">
        <v>0.4</v>
      </c>
      <c r="D353" s="6">
        <v>4.37</v>
      </c>
      <c r="E353" s="6">
        <v>0.6</v>
      </c>
      <c r="F353" s="6">
        <v>1.29</v>
      </c>
      <c r="G353" s="6">
        <v>0.05</v>
      </c>
      <c r="H353" s="6">
        <v>0.075</v>
      </c>
      <c r="I353" s="6">
        <v>0</v>
      </c>
      <c r="J353" s="6">
        <v>0.009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8">
        <f t="shared" si="15"/>
        <v>92.906</v>
      </c>
      <c r="U353" s="7">
        <v>497</v>
      </c>
      <c r="V353" s="6">
        <v>190</v>
      </c>
      <c r="W353" s="6">
        <v>16</v>
      </c>
      <c r="X353" s="6" t="s">
        <v>44</v>
      </c>
      <c r="Y353" s="6" t="s">
        <v>73</v>
      </c>
      <c r="Z353" s="6" t="s">
        <v>37</v>
      </c>
      <c r="AA353" s="6" t="s">
        <v>74</v>
      </c>
      <c r="AB353" s="6" t="s">
        <v>37</v>
      </c>
      <c r="AC353" s="6" t="s">
        <v>51</v>
      </c>
      <c r="AD353" s="26" t="s">
        <v>77</v>
      </c>
      <c r="AE353" s="7">
        <v>450</v>
      </c>
      <c r="AF353" s="6">
        <v>525</v>
      </c>
      <c r="AG353" s="34">
        <v>16</v>
      </c>
      <c r="AH353" s="31" t="s">
        <v>125</v>
      </c>
    </row>
    <row r="354" ht="13.9" spans="1:34">
      <c r="A354" s="6">
        <v>2024</v>
      </c>
      <c r="B354" s="7">
        <v>0.3</v>
      </c>
      <c r="C354" s="6">
        <v>0.4</v>
      </c>
      <c r="D354" s="6">
        <v>4.37</v>
      </c>
      <c r="E354" s="6">
        <v>0.6</v>
      </c>
      <c r="F354" s="6">
        <v>1.29</v>
      </c>
      <c r="G354" s="6">
        <v>0.05</v>
      </c>
      <c r="H354" s="6">
        <v>0.075</v>
      </c>
      <c r="I354" s="6">
        <v>0</v>
      </c>
      <c r="J354" s="6">
        <v>0.009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8">
        <f t="shared" si="15"/>
        <v>92.906</v>
      </c>
      <c r="U354" s="7">
        <v>497</v>
      </c>
      <c r="V354" s="6">
        <v>290</v>
      </c>
      <c r="W354" s="6">
        <v>1</v>
      </c>
      <c r="X354" s="6" t="s">
        <v>44</v>
      </c>
      <c r="Y354" s="6" t="s">
        <v>73</v>
      </c>
      <c r="Z354" s="6" t="s">
        <v>37</v>
      </c>
      <c r="AA354" s="6" t="s">
        <v>74</v>
      </c>
      <c r="AB354" s="6" t="s">
        <v>37</v>
      </c>
      <c r="AC354" s="6" t="s">
        <v>51</v>
      </c>
      <c r="AD354" s="26" t="s">
        <v>77</v>
      </c>
      <c r="AE354" s="7">
        <v>220</v>
      </c>
      <c r="AF354" s="6">
        <v>350</v>
      </c>
      <c r="AG354" s="34">
        <v>20</v>
      </c>
      <c r="AH354" s="31" t="s">
        <v>125</v>
      </c>
    </row>
    <row r="355" ht="13.9" spans="1:34">
      <c r="A355" s="6">
        <v>2024</v>
      </c>
      <c r="B355" s="7">
        <v>0.51</v>
      </c>
      <c r="C355" s="6">
        <v>0.53</v>
      </c>
      <c r="D355" s="6">
        <v>4.23</v>
      </c>
      <c r="E355" s="6">
        <v>0.65</v>
      </c>
      <c r="F355" s="6">
        <v>1.69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8">
        <f t="shared" si="15"/>
        <v>92.39</v>
      </c>
      <c r="U355" s="7">
        <v>495</v>
      </c>
      <c r="V355" s="6">
        <v>160</v>
      </c>
      <c r="W355" s="6">
        <v>16</v>
      </c>
      <c r="X355" s="6" t="s">
        <v>44</v>
      </c>
      <c r="Y355" s="6" t="s">
        <v>73</v>
      </c>
      <c r="Z355" s="6" t="s">
        <v>37</v>
      </c>
      <c r="AA355" s="6" t="s">
        <v>74</v>
      </c>
      <c r="AB355" s="6" t="s">
        <v>37</v>
      </c>
      <c r="AC355" s="6" t="s">
        <v>69</v>
      </c>
      <c r="AD355" s="26" t="s">
        <v>77</v>
      </c>
      <c r="AE355" s="7">
        <v>250</v>
      </c>
      <c r="AF355" s="6" t="s">
        <v>40</v>
      </c>
      <c r="AG355" s="34" t="s">
        <v>40</v>
      </c>
      <c r="AH355" s="31" t="s">
        <v>126</v>
      </c>
    </row>
    <row r="356" ht="13.9" spans="1:34">
      <c r="A356" s="6">
        <v>2024</v>
      </c>
      <c r="B356" s="7">
        <v>0.51</v>
      </c>
      <c r="C356" s="6">
        <v>0.49</v>
      </c>
      <c r="D356" s="6">
        <v>3.95</v>
      </c>
      <c r="E356" s="6">
        <v>0.96</v>
      </c>
      <c r="F356" s="6">
        <v>1.65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2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8">
        <f t="shared" si="15"/>
        <v>90.44</v>
      </c>
      <c r="U356" s="7">
        <v>495</v>
      </c>
      <c r="V356" s="6">
        <v>160</v>
      </c>
      <c r="W356" s="6">
        <v>16</v>
      </c>
      <c r="X356" s="6" t="s">
        <v>44</v>
      </c>
      <c r="Y356" s="6" t="s">
        <v>73</v>
      </c>
      <c r="Z356" s="6" t="s">
        <v>37</v>
      </c>
      <c r="AA356" s="6" t="s">
        <v>74</v>
      </c>
      <c r="AB356" s="6" t="s">
        <v>37</v>
      </c>
      <c r="AC356" s="6" t="s">
        <v>69</v>
      </c>
      <c r="AD356" s="26" t="s">
        <v>77</v>
      </c>
      <c r="AE356" s="7">
        <v>210</v>
      </c>
      <c r="AF356" s="6" t="s">
        <v>40</v>
      </c>
      <c r="AG356" s="34" t="s">
        <v>40</v>
      </c>
      <c r="AH356" s="31" t="s">
        <v>126</v>
      </c>
    </row>
    <row r="357" ht="13.9" spans="1:34">
      <c r="A357" s="6">
        <v>2024</v>
      </c>
      <c r="B357" s="7">
        <v>0.51</v>
      </c>
      <c r="C357" s="6">
        <v>0.75</v>
      </c>
      <c r="D357" s="6">
        <v>4.07</v>
      </c>
      <c r="E357" s="6">
        <v>0.67</v>
      </c>
      <c r="F357" s="6">
        <v>1.53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4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8">
        <f t="shared" si="15"/>
        <v>88.47</v>
      </c>
      <c r="U357" s="7">
        <v>495</v>
      </c>
      <c r="V357" s="6">
        <v>160</v>
      </c>
      <c r="W357" s="6">
        <v>16</v>
      </c>
      <c r="X357" s="6" t="s">
        <v>44</v>
      </c>
      <c r="Y357" s="6" t="s">
        <v>73</v>
      </c>
      <c r="Z357" s="6" t="s">
        <v>37</v>
      </c>
      <c r="AA357" s="6" t="s">
        <v>74</v>
      </c>
      <c r="AB357" s="6" t="s">
        <v>37</v>
      </c>
      <c r="AC357" s="6" t="s">
        <v>69</v>
      </c>
      <c r="AD357" s="26" t="s">
        <v>77</v>
      </c>
      <c r="AE357" s="7">
        <v>190</v>
      </c>
      <c r="AF357" s="6" t="s">
        <v>40</v>
      </c>
      <c r="AG357" s="34" t="s">
        <v>40</v>
      </c>
      <c r="AH357" s="31" t="s">
        <v>126</v>
      </c>
    </row>
    <row r="358" ht="13.9" spans="1:34">
      <c r="A358" s="6">
        <v>2024</v>
      </c>
      <c r="B358" s="7">
        <v>0.51</v>
      </c>
      <c r="C358" s="6">
        <v>0.53</v>
      </c>
      <c r="D358" s="6">
        <v>4.23</v>
      </c>
      <c r="E358" s="6">
        <v>0.65</v>
      </c>
      <c r="F358" s="6">
        <v>1.69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8">
        <f t="shared" si="15"/>
        <v>92.39</v>
      </c>
      <c r="U358" s="7">
        <v>495</v>
      </c>
      <c r="V358" s="6">
        <v>25</v>
      </c>
      <c r="W358" s="6">
        <v>168</v>
      </c>
      <c r="X358" s="6" t="s">
        <v>44</v>
      </c>
      <c r="Y358" s="6" t="s">
        <v>73</v>
      </c>
      <c r="Z358" s="6" t="s">
        <v>37</v>
      </c>
      <c r="AA358" s="6" t="s">
        <v>80</v>
      </c>
      <c r="AB358" s="6" t="s">
        <v>37</v>
      </c>
      <c r="AC358" s="6" t="s">
        <v>69</v>
      </c>
      <c r="AD358" s="26" t="s">
        <v>86</v>
      </c>
      <c r="AE358" s="7">
        <v>255</v>
      </c>
      <c r="AF358" s="6">
        <v>420</v>
      </c>
      <c r="AG358" s="34">
        <v>12</v>
      </c>
      <c r="AH358" s="31" t="s">
        <v>126</v>
      </c>
    </row>
    <row r="359" ht="13.9" spans="1:34">
      <c r="A359" s="6">
        <v>2024</v>
      </c>
      <c r="B359" s="7">
        <v>0.51</v>
      </c>
      <c r="C359" s="6">
        <v>0.53</v>
      </c>
      <c r="D359" s="6">
        <v>4.23</v>
      </c>
      <c r="E359" s="6">
        <v>0.65</v>
      </c>
      <c r="F359" s="6">
        <v>1.69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8">
        <f t="shared" si="15"/>
        <v>92.39</v>
      </c>
      <c r="U359" s="7">
        <v>495</v>
      </c>
      <c r="V359" s="6">
        <v>190</v>
      </c>
      <c r="W359" s="6">
        <v>12</v>
      </c>
      <c r="X359" s="6" t="s">
        <v>44</v>
      </c>
      <c r="Y359" s="6" t="s">
        <v>73</v>
      </c>
      <c r="Z359" s="6" t="s">
        <v>37</v>
      </c>
      <c r="AA359" s="6" t="s">
        <v>74</v>
      </c>
      <c r="AB359" s="6" t="s">
        <v>37</v>
      </c>
      <c r="AC359" s="6" t="s">
        <v>69</v>
      </c>
      <c r="AD359" s="26" t="s">
        <v>77</v>
      </c>
      <c r="AE359" s="7" t="s">
        <v>40</v>
      </c>
      <c r="AF359" s="6">
        <v>400</v>
      </c>
      <c r="AG359" s="34">
        <v>11</v>
      </c>
      <c r="AH359" s="31" t="s">
        <v>126</v>
      </c>
    </row>
    <row r="360" ht="13.9" spans="1:34">
      <c r="A360" s="6">
        <v>2024</v>
      </c>
      <c r="B360" s="7">
        <v>0.51</v>
      </c>
      <c r="C360" s="6">
        <v>0.49</v>
      </c>
      <c r="D360" s="6">
        <v>3.95</v>
      </c>
      <c r="E360" s="6">
        <v>0.96</v>
      </c>
      <c r="F360" s="6">
        <v>1.65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2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8">
        <f t="shared" si="15"/>
        <v>90.44</v>
      </c>
      <c r="U360" s="7">
        <v>495</v>
      </c>
      <c r="V360" s="6">
        <v>190</v>
      </c>
      <c r="W360" s="6">
        <v>12</v>
      </c>
      <c r="X360" s="6" t="s">
        <v>44</v>
      </c>
      <c r="Y360" s="6" t="s">
        <v>73</v>
      </c>
      <c r="Z360" s="6" t="s">
        <v>37</v>
      </c>
      <c r="AA360" s="6" t="s">
        <v>74</v>
      </c>
      <c r="AB360" s="6" t="s">
        <v>37</v>
      </c>
      <c r="AC360" s="6" t="s">
        <v>69</v>
      </c>
      <c r="AD360" s="26" t="s">
        <v>77</v>
      </c>
      <c r="AE360" s="7" t="s">
        <v>40</v>
      </c>
      <c r="AF360" s="6">
        <v>380</v>
      </c>
      <c r="AG360" s="34">
        <v>7</v>
      </c>
      <c r="AH360" s="31" t="s">
        <v>126</v>
      </c>
    </row>
    <row r="361" ht="13.9" spans="1:34">
      <c r="A361" s="6">
        <v>2024</v>
      </c>
      <c r="B361" s="7">
        <v>0.5</v>
      </c>
      <c r="C361" s="6">
        <v>0.5</v>
      </c>
      <c r="D361" s="6">
        <v>4.35</v>
      </c>
      <c r="E361" s="6">
        <v>0.6</v>
      </c>
      <c r="F361" s="6">
        <v>1.5</v>
      </c>
      <c r="G361" s="6">
        <v>0.1</v>
      </c>
      <c r="H361" s="6">
        <v>0.25</v>
      </c>
      <c r="I361" s="6">
        <v>0</v>
      </c>
      <c r="J361" s="6">
        <v>0.15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8">
        <f t="shared" si="15"/>
        <v>92.05</v>
      </c>
      <c r="U361" s="7">
        <v>25</v>
      </c>
      <c r="V361" s="6">
        <v>25</v>
      </c>
      <c r="W361" s="6">
        <v>0</v>
      </c>
      <c r="X361" s="6" t="s">
        <v>99</v>
      </c>
      <c r="Y361" s="6" t="s">
        <v>35</v>
      </c>
      <c r="Z361" s="6" t="s">
        <v>37</v>
      </c>
      <c r="AA361" s="6" t="s">
        <v>37</v>
      </c>
      <c r="AB361" s="6" t="s">
        <v>37</v>
      </c>
      <c r="AC361" s="6" t="s">
        <v>100</v>
      </c>
      <c r="AD361" s="26" t="s">
        <v>52</v>
      </c>
      <c r="AE361" s="7">
        <v>256</v>
      </c>
      <c r="AF361" s="6">
        <v>378</v>
      </c>
      <c r="AG361" s="34">
        <v>20.4</v>
      </c>
      <c r="AH361" s="31" t="s">
        <v>126</v>
      </c>
    </row>
    <row r="362" ht="13.9" spans="1:34">
      <c r="A362" s="6">
        <v>2024</v>
      </c>
      <c r="B362" s="7">
        <v>0.51</v>
      </c>
      <c r="C362" s="6">
        <v>0.75</v>
      </c>
      <c r="D362" s="6">
        <v>4.07</v>
      </c>
      <c r="E362" s="6">
        <v>0.67</v>
      </c>
      <c r="F362" s="6">
        <v>1.53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4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8">
        <f t="shared" si="15"/>
        <v>88.47</v>
      </c>
      <c r="U362" s="7">
        <v>495</v>
      </c>
      <c r="V362" s="6">
        <v>190</v>
      </c>
      <c r="W362" s="6">
        <v>12</v>
      </c>
      <c r="X362" s="6" t="s">
        <v>44</v>
      </c>
      <c r="Y362" s="6" t="s">
        <v>73</v>
      </c>
      <c r="Z362" s="6" t="s">
        <v>37</v>
      </c>
      <c r="AA362" s="6" t="s">
        <v>74</v>
      </c>
      <c r="AB362" s="6" t="s">
        <v>37</v>
      </c>
      <c r="AC362" s="6" t="s">
        <v>69</v>
      </c>
      <c r="AD362" s="26" t="s">
        <v>77</v>
      </c>
      <c r="AE362" s="7" t="s">
        <v>40</v>
      </c>
      <c r="AF362" s="6">
        <v>370</v>
      </c>
      <c r="AG362" s="34">
        <v>6</v>
      </c>
      <c r="AH362" s="31" t="s">
        <v>126</v>
      </c>
    </row>
    <row r="363" ht="13.9" spans="1:34">
      <c r="A363" s="6">
        <v>2024</v>
      </c>
      <c r="B363" s="7">
        <v>0.51</v>
      </c>
      <c r="C363" s="6">
        <v>0.49</v>
      </c>
      <c r="D363" s="6">
        <v>3.95</v>
      </c>
      <c r="E363" s="6">
        <v>0.96</v>
      </c>
      <c r="F363" s="6">
        <v>1.65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2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8">
        <f t="shared" si="15"/>
        <v>90.44</v>
      </c>
      <c r="U363" s="7">
        <v>495</v>
      </c>
      <c r="V363" s="6">
        <v>25</v>
      </c>
      <c r="W363" s="6">
        <v>168</v>
      </c>
      <c r="X363" s="6" t="s">
        <v>44</v>
      </c>
      <c r="Y363" s="6" t="s">
        <v>73</v>
      </c>
      <c r="Z363" s="6" t="s">
        <v>37</v>
      </c>
      <c r="AA363" s="6" t="s">
        <v>80</v>
      </c>
      <c r="AB363" s="6" t="s">
        <v>37</v>
      </c>
      <c r="AC363" s="6" t="s">
        <v>69</v>
      </c>
      <c r="AD363" s="26" t="s">
        <v>86</v>
      </c>
      <c r="AE363" s="7">
        <v>250</v>
      </c>
      <c r="AF363" s="6">
        <v>370</v>
      </c>
      <c r="AG363" s="34">
        <v>6</v>
      </c>
      <c r="AH363" s="31" t="s">
        <v>126</v>
      </c>
    </row>
    <row r="364" ht="13.9" spans="1:34">
      <c r="A364" s="6">
        <v>2024</v>
      </c>
      <c r="B364" s="7">
        <v>0.51</v>
      </c>
      <c r="C364" s="6">
        <v>0.75</v>
      </c>
      <c r="D364" s="6">
        <v>4.07</v>
      </c>
      <c r="E364" s="6">
        <v>0.67</v>
      </c>
      <c r="F364" s="6">
        <v>1.53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4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8">
        <f t="shared" si="15"/>
        <v>88.47</v>
      </c>
      <c r="U364" s="7">
        <v>495</v>
      </c>
      <c r="V364" s="6">
        <v>25</v>
      </c>
      <c r="W364" s="6">
        <v>168</v>
      </c>
      <c r="X364" s="6" t="s">
        <v>44</v>
      </c>
      <c r="Y364" s="6" t="s">
        <v>73</v>
      </c>
      <c r="Z364" s="6" t="s">
        <v>37</v>
      </c>
      <c r="AA364" s="6" t="s">
        <v>80</v>
      </c>
      <c r="AB364" s="6" t="s">
        <v>37</v>
      </c>
      <c r="AC364" s="6" t="s">
        <v>69</v>
      </c>
      <c r="AD364" s="26" t="s">
        <v>86</v>
      </c>
      <c r="AE364" s="7">
        <v>250</v>
      </c>
      <c r="AF364" s="6">
        <v>360</v>
      </c>
      <c r="AG364" s="34">
        <v>5</v>
      </c>
      <c r="AH364" s="31" t="s">
        <v>126</v>
      </c>
    </row>
    <row r="365" ht="13.9" spans="1:34">
      <c r="A365" s="6">
        <v>2024</v>
      </c>
      <c r="B365" s="7">
        <v>0.5</v>
      </c>
      <c r="C365" s="6">
        <v>0.5</v>
      </c>
      <c r="D365" s="6">
        <v>4.35</v>
      </c>
      <c r="E365" s="6">
        <v>0.6</v>
      </c>
      <c r="F365" s="6">
        <v>1.5</v>
      </c>
      <c r="G365" s="6">
        <v>0.1</v>
      </c>
      <c r="H365" s="6">
        <v>0.25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8">
        <f t="shared" si="15"/>
        <v>92.2</v>
      </c>
      <c r="U365" s="7">
        <v>493</v>
      </c>
      <c r="V365" s="6">
        <v>25</v>
      </c>
      <c r="W365" s="6">
        <v>0</v>
      </c>
      <c r="X365" s="6" t="s">
        <v>42</v>
      </c>
      <c r="Y365" s="6" t="s">
        <v>73</v>
      </c>
      <c r="Z365" s="6" t="s">
        <v>79</v>
      </c>
      <c r="AA365" s="6" t="s">
        <v>80</v>
      </c>
      <c r="AB365" s="6" t="s">
        <v>37</v>
      </c>
      <c r="AC365" s="6" t="s">
        <v>43</v>
      </c>
      <c r="AD365" s="26" t="s">
        <v>81</v>
      </c>
      <c r="AE365" s="7">
        <v>345</v>
      </c>
      <c r="AF365" s="6">
        <v>483</v>
      </c>
      <c r="AG365" s="34">
        <v>17</v>
      </c>
      <c r="AH365" s="31" t="s">
        <v>127</v>
      </c>
    </row>
    <row r="366" ht="13.9" spans="1:34">
      <c r="A366" s="6">
        <v>2024</v>
      </c>
      <c r="B366" s="7">
        <v>0.5</v>
      </c>
      <c r="C366" s="6">
        <v>0.5</v>
      </c>
      <c r="D366" s="6">
        <v>4.35</v>
      </c>
      <c r="E366" s="6">
        <v>0.6</v>
      </c>
      <c r="F366" s="6">
        <v>1.5</v>
      </c>
      <c r="G366" s="6">
        <v>0.1</v>
      </c>
      <c r="H366" s="6">
        <v>0.25</v>
      </c>
      <c r="I366" s="6">
        <v>0</v>
      </c>
      <c r="J366" s="6">
        <v>0.15</v>
      </c>
      <c r="K366" s="6">
        <v>0.05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8">
        <f t="shared" si="15"/>
        <v>92</v>
      </c>
      <c r="U366" s="7">
        <v>495</v>
      </c>
      <c r="V366" s="6">
        <v>190</v>
      </c>
      <c r="W366" s="6">
        <v>12</v>
      </c>
      <c r="X366" s="6" t="s">
        <v>53</v>
      </c>
      <c r="Y366" s="6" t="s">
        <v>73</v>
      </c>
      <c r="Z366" s="6" t="s">
        <v>79</v>
      </c>
      <c r="AA366" s="6" t="s">
        <v>74</v>
      </c>
      <c r="AB366" s="6" t="s">
        <v>37</v>
      </c>
      <c r="AC366" s="6" t="s">
        <v>53</v>
      </c>
      <c r="AD366" s="26" t="s">
        <v>83</v>
      </c>
      <c r="AE366" s="7">
        <v>450</v>
      </c>
      <c r="AF366" s="6">
        <v>480</v>
      </c>
      <c r="AG366" s="34">
        <v>6</v>
      </c>
      <c r="AH366" s="31" t="s">
        <v>88</v>
      </c>
    </row>
    <row r="367" ht="13.9" spans="1:34">
      <c r="A367" s="6">
        <v>2024</v>
      </c>
      <c r="B367" s="7">
        <v>0.5</v>
      </c>
      <c r="C367" s="6">
        <v>0.5</v>
      </c>
      <c r="D367" s="6">
        <v>4.35</v>
      </c>
      <c r="E367" s="6">
        <v>0.6</v>
      </c>
      <c r="F367" s="6">
        <v>1.5</v>
      </c>
      <c r="G367" s="6">
        <v>0.1</v>
      </c>
      <c r="H367" s="6">
        <v>0.25</v>
      </c>
      <c r="I367" s="6">
        <v>0</v>
      </c>
      <c r="J367" s="6">
        <v>0.15</v>
      </c>
      <c r="K367" s="6">
        <v>0.05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8">
        <f t="shared" si="15"/>
        <v>92</v>
      </c>
      <c r="U367" s="7">
        <v>495</v>
      </c>
      <c r="V367" s="6">
        <v>190</v>
      </c>
      <c r="W367" s="6">
        <v>9</v>
      </c>
      <c r="X367" s="6" t="s">
        <v>53</v>
      </c>
      <c r="Y367" s="6" t="s">
        <v>73</v>
      </c>
      <c r="Z367" s="6" t="s">
        <v>37</v>
      </c>
      <c r="AA367" s="6" t="s">
        <v>74</v>
      </c>
      <c r="AB367" s="6" t="s">
        <v>37</v>
      </c>
      <c r="AC367" s="6" t="s">
        <v>53</v>
      </c>
      <c r="AD367" s="26" t="s">
        <v>77</v>
      </c>
      <c r="AE367" s="7">
        <v>395</v>
      </c>
      <c r="AF367" s="6">
        <v>475</v>
      </c>
      <c r="AG367" s="34">
        <v>10</v>
      </c>
      <c r="AH367" s="31" t="s">
        <v>88</v>
      </c>
    </row>
    <row r="368" ht="13.9" spans="1:34">
      <c r="A368" s="6">
        <v>2024</v>
      </c>
      <c r="B368" s="7">
        <v>0.5</v>
      </c>
      <c r="C368" s="6">
        <v>0.5</v>
      </c>
      <c r="D368" s="6">
        <v>4.35</v>
      </c>
      <c r="E368" s="6">
        <v>0.6</v>
      </c>
      <c r="F368" s="6">
        <v>1.5</v>
      </c>
      <c r="G368" s="6">
        <v>0.1</v>
      </c>
      <c r="H368" s="6">
        <v>0.25</v>
      </c>
      <c r="I368" s="6">
        <v>0</v>
      </c>
      <c r="J368" s="6">
        <v>0.15</v>
      </c>
      <c r="K368" s="6">
        <v>0.05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8">
        <f t="shared" si="15"/>
        <v>92</v>
      </c>
      <c r="U368" s="7">
        <v>495</v>
      </c>
      <c r="V368" s="6">
        <v>25</v>
      </c>
      <c r="W368" s="6">
        <v>0</v>
      </c>
      <c r="X368" s="6" t="s">
        <v>53</v>
      </c>
      <c r="Y368" s="6" t="s">
        <v>73</v>
      </c>
      <c r="Z368" s="6" t="s">
        <v>37</v>
      </c>
      <c r="AA368" s="6" t="s">
        <v>80</v>
      </c>
      <c r="AB368" s="6" t="s">
        <v>37</v>
      </c>
      <c r="AC368" s="6" t="s">
        <v>53</v>
      </c>
      <c r="AD368" s="26" t="s">
        <v>86</v>
      </c>
      <c r="AE368" s="7">
        <v>325</v>
      </c>
      <c r="AF368" s="6">
        <v>470</v>
      </c>
      <c r="AG368" s="34">
        <v>20</v>
      </c>
      <c r="AH368" s="31" t="s">
        <v>88</v>
      </c>
    </row>
    <row r="369" ht="13.9" spans="1:34">
      <c r="A369" s="6">
        <v>2024</v>
      </c>
      <c r="B369" s="7">
        <v>0.07</v>
      </c>
      <c r="C369" s="6">
        <v>0.07</v>
      </c>
      <c r="D369" s="6">
        <v>3.98</v>
      </c>
      <c r="E369" s="6">
        <v>0.66</v>
      </c>
      <c r="F369" s="6">
        <v>1.32</v>
      </c>
      <c r="G369" s="6">
        <v>0</v>
      </c>
      <c r="H369" s="6">
        <v>0</v>
      </c>
      <c r="I369" s="6">
        <v>0</v>
      </c>
      <c r="J369" s="6">
        <v>0.02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8">
        <f t="shared" si="15"/>
        <v>93.88</v>
      </c>
      <c r="U369" s="7">
        <v>495</v>
      </c>
      <c r="V369" s="6">
        <v>150</v>
      </c>
      <c r="W369" s="6">
        <v>177</v>
      </c>
      <c r="X369" s="6" t="s">
        <v>42</v>
      </c>
      <c r="Y369" s="6" t="s">
        <v>73</v>
      </c>
      <c r="Z369" s="6" t="s">
        <v>84</v>
      </c>
      <c r="AA369" s="6" t="s">
        <v>74</v>
      </c>
      <c r="AB369" s="6" t="s">
        <v>37</v>
      </c>
      <c r="AC369" s="6" t="s">
        <v>59</v>
      </c>
      <c r="AD369" s="26" t="s">
        <v>117</v>
      </c>
      <c r="AE369" s="7">
        <v>369</v>
      </c>
      <c r="AF369" s="6">
        <v>595</v>
      </c>
      <c r="AG369" s="34">
        <v>8</v>
      </c>
      <c r="AH369" s="31" t="s">
        <v>128</v>
      </c>
    </row>
    <row r="370" ht="13.9" spans="1:34">
      <c r="A370" s="6">
        <v>2024</v>
      </c>
      <c r="B370" s="7">
        <v>0.07</v>
      </c>
      <c r="C370" s="6">
        <v>0.07</v>
      </c>
      <c r="D370" s="6">
        <v>3.98</v>
      </c>
      <c r="E370" s="6">
        <v>0.66</v>
      </c>
      <c r="F370" s="6">
        <v>1.32</v>
      </c>
      <c r="G370" s="6">
        <v>0</v>
      </c>
      <c r="H370" s="6">
        <v>0</v>
      </c>
      <c r="I370" s="6">
        <v>0</v>
      </c>
      <c r="J370" s="6">
        <v>0.02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8">
        <f t="shared" ref="T370:T401" si="16">100-SUM(B370:S370)</f>
        <v>93.88</v>
      </c>
      <c r="U370" s="7">
        <v>495</v>
      </c>
      <c r="V370" s="6">
        <v>150</v>
      </c>
      <c r="W370" s="6">
        <v>80</v>
      </c>
      <c r="X370" s="6" t="s">
        <v>42</v>
      </c>
      <c r="Y370" s="6" t="s">
        <v>73</v>
      </c>
      <c r="Z370" s="6" t="s">
        <v>84</v>
      </c>
      <c r="AA370" s="6" t="s">
        <v>74</v>
      </c>
      <c r="AB370" s="6" t="s">
        <v>37</v>
      </c>
      <c r="AC370" s="6" t="s">
        <v>59</v>
      </c>
      <c r="AD370" s="26" t="s">
        <v>117</v>
      </c>
      <c r="AE370" s="7">
        <v>363</v>
      </c>
      <c r="AF370" s="6">
        <v>527</v>
      </c>
      <c r="AG370" s="34">
        <v>13</v>
      </c>
      <c r="AH370" s="31" t="s">
        <v>128</v>
      </c>
    </row>
    <row r="371" ht="13.9" spans="1:34">
      <c r="A371" s="6">
        <v>2024</v>
      </c>
      <c r="B371" s="7">
        <v>0.07</v>
      </c>
      <c r="C371" s="6">
        <v>0.07</v>
      </c>
      <c r="D371" s="6">
        <v>3.98</v>
      </c>
      <c r="E371" s="6">
        <v>0.66</v>
      </c>
      <c r="F371" s="6">
        <v>1.32</v>
      </c>
      <c r="G371" s="6">
        <v>0</v>
      </c>
      <c r="H371" s="6">
        <v>0</v>
      </c>
      <c r="I371" s="6">
        <v>0</v>
      </c>
      <c r="J371" s="6">
        <v>0.02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8">
        <f t="shared" si="16"/>
        <v>93.88</v>
      </c>
      <c r="U371" s="7">
        <v>495</v>
      </c>
      <c r="V371" s="6">
        <v>150</v>
      </c>
      <c r="W371" s="6">
        <v>55</v>
      </c>
      <c r="X371" s="6" t="s">
        <v>42</v>
      </c>
      <c r="Y371" s="6" t="s">
        <v>73</v>
      </c>
      <c r="Z371" s="6" t="s">
        <v>84</v>
      </c>
      <c r="AA371" s="6" t="s">
        <v>74</v>
      </c>
      <c r="AB371" s="6" t="s">
        <v>37</v>
      </c>
      <c r="AC371" s="6" t="s">
        <v>59</v>
      </c>
      <c r="AD371" s="26" t="s">
        <v>117</v>
      </c>
      <c r="AE371" s="7">
        <v>356</v>
      </c>
      <c r="AF371" s="6">
        <v>496</v>
      </c>
      <c r="AG371" s="34">
        <v>17</v>
      </c>
      <c r="AH371" s="31" t="s">
        <v>128</v>
      </c>
    </row>
    <row r="372" ht="13.9" spans="1:34">
      <c r="A372" s="6">
        <v>2024</v>
      </c>
      <c r="B372" s="7">
        <v>0.07</v>
      </c>
      <c r="C372" s="6">
        <v>0.07</v>
      </c>
      <c r="D372" s="6">
        <v>3.98</v>
      </c>
      <c r="E372" s="6">
        <v>0.66</v>
      </c>
      <c r="F372" s="6">
        <v>1.32</v>
      </c>
      <c r="G372" s="6">
        <v>0</v>
      </c>
      <c r="H372" s="6">
        <v>0</v>
      </c>
      <c r="I372" s="6">
        <v>0</v>
      </c>
      <c r="J372" s="6">
        <v>0.02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8">
        <f t="shared" si="16"/>
        <v>93.88</v>
      </c>
      <c r="U372" s="7">
        <v>495</v>
      </c>
      <c r="V372" s="6">
        <v>150</v>
      </c>
      <c r="W372" s="6">
        <v>27</v>
      </c>
      <c r="X372" s="6" t="s">
        <v>42</v>
      </c>
      <c r="Y372" s="6" t="s">
        <v>73</v>
      </c>
      <c r="Z372" s="6" t="s">
        <v>84</v>
      </c>
      <c r="AA372" s="6" t="s">
        <v>74</v>
      </c>
      <c r="AB372" s="6" t="s">
        <v>37</v>
      </c>
      <c r="AC372" s="6" t="s">
        <v>59</v>
      </c>
      <c r="AD372" s="26" t="s">
        <v>117</v>
      </c>
      <c r="AE372" s="7">
        <v>357</v>
      </c>
      <c r="AF372" s="6">
        <v>476</v>
      </c>
      <c r="AG372" s="34">
        <v>20.5</v>
      </c>
      <c r="AH372" s="31" t="s">
        <v>128</v>
      </c>
    </row>
    <row r="373" ht="13.9" spans="1:34">
      <c r="A373" s="6">
        <v>2024</v>
      </c>
      <c r="B373" s="7">
        <v>0.07</v>
      </c>
      <c r="C373" s="6">
        <v>0.07</v>
      </c>
      <c r="D373" s="6">
        <v>3.98</v>
      </c>
      <c r="E373" s="6">
        <v>0.66</v>
      </c>
      <c r="F373" s="6">
        <v>1.32</v>
      </c>
      <c r="G373" s="6">
        <v>0</v>
      </c>
      <c r="H373" s="6">
        <v>0</v>
      </c>
      <c r="I373" s="6">
        <v>0</v>
      </c>
      <c r="J373" s="6">
        <v>0.02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8">
        <f t="shared" si="16"/>
        <v>93.88</v>
      </c>
      <c r="U373" s="7">
        <v>495</v>
      </c>
      <c r="V373" s="6">
        <v>25</v>
      </c>
      <c r="W373" s="6">
        <v>96</v>
      </c>
      <c r="X373" s="6" t="s">
        <v>42</v>
      </c>
      <c r="Y373" s="6" t="s">
        <v>73</v>
      </c>
      <c r="Z373" s="6" t="s">
        <v>84</v>
      </c>
      <c r="AA373" s="6" t="s">
        <v>80</v>
      </c>
      <c r="AB373" s="6" t="s">
        <v>37</v>
      </c>
      <c r="AC373" s="6" t="s">
        <v>59</v>
      </c>
      <c r="AD373" s="26" t="s">
        <v>111</v>
      </c>
      <c r="AE373" s="7">
        <v>360</v>
      </c>
      <c r="AF373" s="6">
        <v>468</v>
      </c>
      <c r="AG373" s="34">
        <v>19.5</v>
      </c>
      <c r="AH373" s="31" t="s">
        <v>128</v>
      </c>
    </row>
    <row r="374" s="3" customFormat="1" ht="13.9" spans="1:34">
      <c r="A374" s="3">
        <v>2024</v>
      </c>
      <c r="B374" s="16">
        <v>0.04</v>
      </c>
      <c r="C374" s="3">
        <v>0.1</v>
      </c>
      <c r="D374" s="3">
        <v>3.49</v>
      </c>
      <c r="E374" s="3">
        <v>1.31</v>
      </c>
      <c r="F374" s="3">
        <v>2.15</v>
      </c>
      <c r="G374" s="3">
        <v>0.002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22">
        <f t="shared" si="16"/>
        <v>92.908</v>
      </c>
      <c r="U374" s="16">
        <v>496</v>
      </c>
      <c r="V374" s="3">
        <v>190</v>
      </c>
      <c r="W374" s="3">
        <v>8</v>
      </c>
      <c r="X374" s="3" t="s">
        <v>44</v>
      </c>
      <c r="Y374" s="3" t="s">
        <v>73</v>
      </c>
      <c r="Z374" s="3" t="s">
        <v>37</v>
      </c>
      <c r="AA374" s="3" t="s">
        <v>74</v>
      </c>
      <c r="AB374" s="3" t="s">
        <v>37</v>
      </c>
      <c r="AC374" s="3" t="s">
        <v>69</v>
      </c>
      <c r="AD374" s="27" t="s">
        <v>77</v>
      </c>
      <c r="AE374" s="16">
        <v>378</v>
      </c>
      <c r="AF374" s="3">
        <v>479</v>
      </c>
      <c r="AG374" s="38">
        <v>7.8</v>
      </c>
      <c r="AH374" s="33" t="s">
        <v>129</v>
      </c>
    </row>
    <row r="375" s="4" customFormat="1" ht="13.9" spans="1:34">
      <c r="A375" s="4">
        <v>2036</v>
      </c>
      <c r="B375" s="35">
        <v>0.5</v>
      </c>
      <c r="C375" s="4">
        <v>0.5</v>
      </c>
      <c r="D375" s="4">
        <v>2.6</v>
      </c>
      <c r="E375" s="4">
        <v>0.25</v>
      </c>
      <c r="F375" s="4">
        <v>0.45</v>
      </c>
      <c r="G375" s="4">
        <v>0.1</v>
      </c>
      <c r="H375" s="4">
        <v>0.25</v>
      </c>
      <c r="I375" s="4">
        <v>0</v>
      </c>
      <c r="J375" s="4">
        <v>0.15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37">
        <f t="shared" si="16"/>
        <v>95.2</v>
      </c>
      <c r="U375" s="35">
        <v>500</v>
      </c>
      <c r="V375" s="4">
        <v>25</v>
      </c>
      <c r="W375" s="4">
        <v>0</v>
      </c>
      <c r="X375" s="4" t="s">
        <v>42</v>
      </c>
      <c r="Y375" s="4" t="s">
        <v>73</v>
      </c>
      <c r="Z375" s="4" t="s">
        <v>37</v>
      </c>
      <c r="AA375" s="4" t="s">
        <v>80</v>
      </c>
      <c r="AB375" s="4" t="s">
        <v>37</v>
      </c>
      <c r="AC375" s="4" t="s">
        <v>43</v>
      </c>
      <c r="AD375" s="45" t="s">
        <v>86</v>
      </c>
      <c r="AE375" s="35">
        <v>178</v>
      </c>
      <c r="AF375" s="4">
        <v>315</v>
      </c>
      <c r="AG375" s="46">
        <v>22</v>
      </c>
      <c r="AH375" s="40" t="s">
        <v>54</v>
      </c>
    </row>
    <row r="376" s="4" customFormat="1" ht="13.9" spans="1:34">
      <c r="A376" s="4">
        <v>2048</v>
      </c>
      <c r="B376" s="35">
        <v>0.15</v>
      </c>
      <c r="C376" s="4">
        <v>0.2</v>
      </c>
      <c r="D376" s="4">
        <v>3.3</v>
      </c>
      <c r="E376" s="4">
        <v>0.4</v>
      </c>
      <c r="F376" s="4">
        <v>1.5</v>
      </c>
      <c r="G376" s="4">
        <v>0</v>
      </c>
      <c r="H376" s="4">
        <v>0.25</v>
      </c>
      <c r="I376" s="4">
        <v>0</v>
      </c>
      <c r="J376" s="4">
        <v>0.1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37">
        <f t="shared" si="16"/>
        <v>94.1</v>
      </c>
      <c r="U376" s="35">
        <v>500</v>
      </c>
      <c r="V376" s="4">
        <v>25</v>
      </c>
      <c r="W376" s="4">
        <v>0</v>
      </c>
      <c r="X376" s="4" t="s">
        <v>42</v>
      </c>
      <c r="Y376" s="4" t="s">
        <v>73</v>
      </c>
      <c r="Z376" s="4" t="s">
        <v>84</v>
      </c>
      <c r="AA376" s="4" t="s">
        <v>74</v>
      </c>
      <c r="AB376" s="4" t="s">
        <v>37</v>
      </c>
      <c r="AC376" s="4" t="s">
        <v>59</v>
      </c>
      <c r="AD376" s="45" t="s">
        <v>117</v>
      </c>
      <c r="AE376" s="35">
        <v>414</v>
      </c>
      <c r="AF376" s="4">
        <v>462</v>
      </c>
      <c r="AG376" s="46">
        <v>7</v>
      </c>
      <c r="AH376" s="40" t="s">
        <v>54</v>
      </c>
    </row>
    <row r="377" s="4" customFormat="1" ht="13.9" spans="1:34">
      <c r="A377" s="4">
        <v>2124</v>
      </c>
      <c r="B377" s="35">
        <v>0.04</v>
      </c>
      <c r="C377" s="4">
        <v>0.3</v>
      </c>
      <c r="D377" s="4">
        <v>4.65</v>
      </c>
      <c r="E377" s="4">
        <v>0.9</v>
      </c>
      <c r="F377" s="4">
        <v>1.65</v>
      </c>
      <c r="G377" s="4">
        <v>0</v>
      </c>
      <c r="H377" s="4">
        <v>0.01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37">
        <f t="shared" si="16"/>
        <v>92.45</v>
      </c>
      <c r="U377" s="35">
        <v>490</v>
      </c>
      <c r="V377" s="4">
        <v>120</v>
      </c>
      <c r="W377" s="4">
        <v>18</v>
      </c>
      <c r="X377" s="4" t="s">
        <v>44</v>
      </c>
      <c r="Y377" s="4" t="s">
        <v>73</v>
      </c>
      <c r="Z377" s="4" t="s">
        <v>37</v>
      </c>
      <c r="AA377" s="4" t="s">
        <v>80</v>
      </c>
      <c r="AB377" s="4" t="s">
        <v>37</v>
      </c>
      <c r="AC377" s="4" t="s">
        <v>51</v>
      </c>
      <c r="AD377" s="45" t="s">
        <v>86</v>
      </c>
      <c r="AE377" s="35">
        <v>327</v>
      </c>
      <c r="AF377" s="4">
        <v>491</v>
      </c>
      <c r="AG377" s="39">
        <v>18</v>
      </c>
      <c r="AH377" s="40" t="s">
        <v>130</v>
      </c>
    </row>
    <row r="378" ht="13.9" spans="1:34">
      <c r="A378" s="6">
        <v>2218</v>
      </c>
      <c r="B378" s="7">
        <v>0.9</v>
      </c>
      <c r="C378" s="6">
        <v>1</v>
      </c>
      <c r="D378" s="6">
        <v>4</v>
      </c>
      <c r="E378" s="6">
        <v>0.2</v>
      </c>
      <c r="F378" s="6">
        <v>1.5</v>
      </c>
      <c r="G378" s="6">
        <v>0.1</v>
      </c>
      <c r="H378" s="6">
        <v>0.25</v>
      </c>
      <c r="I378" s="6">
        <v>0</v>
      </c>
      <c r="J378" s="6">
        <v>0</v>
      </c>
      <c r="K378" s="6">
        <v>0</v>
      </c>
      <c r="L378" s="6">
        <v>0</v>
      </c>
      <c r="M378" s="6">
        <v>2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8">
        <f t="shared" si="16"/>
        <v>90.05</v>
      </c>
      <c r="U378" s="7">
        <v>510</v>
      </c>
      <c r="V378" s="6">
        <v>170</v>
      </c>
      <c r="W378" s="6">
        <v>10</v>
      </c>
      <c r="X378" s="6" t="s">
        <v>53</v>
      </c>
      <c r="Y378" s="6" t="s">
        <v>73</v>
      </c>
      <c r="Z378" s="6" t="s">
        <v>37</v>
      </c>
      <c r="AA378" s="6" t="s">
        <v>118</v>
      </c>
      <c r="AB378" s="6" t="s">
        <v>37</v>
      </c>
      <c r="AC378" s="6" t="s">
        <v>53</v>
      </c>
      <c r="AD378" s="26" t="s">
        <v>131</v>
      </c>
      <c r="AE378" s="7">
        <v>304</v>
      </c>
      <c r="AF378" s="6">
        <v>406</v>
      </c>
      <c r="AG378" s="34">
        <v>13</v>
      </c>
      <c r="AH378" s="31" t="s">
        <v>54</v>
      </c>
    </row>
    <row r="379" s="3" customFormat="1" ht="13.9" spans="1:34">
      <c r="A379" s="3">
        <v>2218</v>
      </c>
      <c r="B379" s="16">
        <v>0.9</v>
      </c>
      <c r="C379" s="3">
        <v>1</v>
      </c>
      <c r="D379" s="3">
        <v>4</v>
      </c>
      <c r="E379" s="3">
        <v>0.2</v>
      </c>
      <c r="F379" s="3">
        <v>1.5</v>
      </c>
      <c r="G379" s="3">
        <v>0.1</v>
      </c>
      <c r="H379" s="3">
        <v>0.25</v>
      </c>
      <c r="I379" s="3">
        <v>0</v>
      </c>
      <c r="J379" s="3">
        <v>0</v>
      </c>
      <c r="K379" s="3">
        <v>0</v>
      </c>
      <c r="L379" s="3">
        <v>0</v>
      </c>
      <c r="M379" s="3">
        <v>2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22">
        <f t="shared" si="16"/>
        <v>90.05</v>
      </c>
      <c r="U379" s="16">
        <v>510</v>
      </c>
      <c r="V379" s="3">
        <v>240</v>
      </c>
      <c r="W379" s="3">
        <v>6</v>
      </c>
      <c r="X379" s="3" t="s">
        <v>53</v>
      </c>
      <c r="Y379" s="3" t="s">
        <v>73</v>
      </c>
      <c r="Z379" s="3" t="s">
        <v>37</v>
      </c>
      <c r="AA379" s="3" t="s">
        <v>118</v>
      </c>
      <c r="AB379" s="3" t="s">
        <v>37</v>
      </c>
      <c r="AC379" s="3" t="s">
        <v>53</v>
      </c>
      <c r="AD379" s="27" t="s">
        <v>119</v>
      </c>
      <c r="AE379" s="16">
        <v>255</v>
      </c>
      <c r="AF379" s="3">
        <v>331</v>
      </c>
      <c r="AG379" s="32">
        <v>11</v>
      </c>
      <c r="AH379" s="33" t="s">
        <v>54</v>
      </c>
    </row>
    <row r="380" ht="13.9" spans="1:34">
      <c r="A380" s="6">
        <v>2219</v>
      </c>
      <c r="B380" s="7">
        <v>0.2</v>
      </c>
      <c r="C380" s="6">
        <v>0.3</v>
      </c>
      <c r="D380" s="6">
        <v>6.3</v>
      </c>
      <c r="E380" s="6">
        <v>0.3</v>
      </c>
      <c r="F380" s="6">
        <v>0.02</v>
      </c>
      <c r="G380" s="6">
        <v>0</v>
      </c>
      <c r="H380" s="6">
        <v>0.1</v>
      </c>
      <c r="I380" s="6">
        <v>0.1</v>
      </c>
      <c r="J380" s="6">
        <v>0.06</v>
      </c>
      <c r="K380" s="6">
        <v>0.175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8">
        <f t="shared" si="16"/>
        <v>92.445</v>
      </c>
      <c r="U380" s="7">
        <v>535</v>
      </c>
      <c r="V380" s="6">
        <v>165</v>
      </c>
      <c r="W380" s="6">
        <v>24</v>
      </c>
      <c r="X380" s="6" t="s">
        <v>53</v>
      </c>
      <c r="Y380" s="6" t="s">
        <v>73</v>
      </c>
      <c r="Z380" s="6" t="s">
        <v>132</v>
      </c>
      <c r="AA380" s="6" t="s">
        <v>74</v>
      </c>
      <c r="AB380" s="6" t="s">
        <v>37</v>
      </c>
      <c r="AC380" s="6" t="s">
        <v>53</v>
      </c>
      <c r="AD380" s="8" t="s">
        <v>133</v>
      </c>
      <c r="AE380" s="7">
        <v>393</v>
      </c>
      <c r="AF380" s="6">
        <v>476</v>
      </c>
      <c r="AG380" s="10">
        <v>10</v>
      </c>
      <c r="AH380" s="31" t="s">
        <v>54</v>
      </c>
    </row>
    <row r="381" ht="13.9" spans="1:34">
      <c r="A381" s="6">
        <v>2219</v>
      </c>
      <c r="B381" s="7">
        <v>0.2</v>
      </c>
      <c r="C381" s="6">
        <v>0.3</v>
      </c>
      <c r="D381" s="6">
        <v>6.3</v>
      </c>
      <c r="E381" s="6">
        <v>0.3</v>
      </c>
      <c r="F381" s="6">
        <v>0.02</v>
      </c>
      <c r="G381" s="6">
        <v>0</v>
      </c>
      <c r="H381" s="6">
        <v>0.1</v>
      </c>
      <c r="I381" s="6">
        <v>0.1</v>
      </c>
      <c r="J381" s="6">
        <v>0.06</v>
      </c>
      <c r="K381" s="6">
        <v>0.175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8">
        <f t="shared" si="16"/>
        <v>92.445</v>
      </c>
      <c r="U381" s="7">
        <v>535</v>
      </c>
      <c r="V381" s="6">
        <v>175</v>
      </c>
      <c r="W381" s="6">
        <v>18</v>
      </c>
      <c r="X381" s="6" t="s">
        <v>53</v>
      </c>
      <c r="Y381" s="6" t="s">
        <v>73</v>
      </c>
      <c r="Z381" s="6" t="s">
        <v>84</v>
      </c>
      <c r="AA381" s="6" t="s">
        <v>74</v>
      </c>
      <c r="AB381" s="6" t="s">
        <v>37</v>
      </c>
      <c r="AC381" s="6" t="s">
        <v>53</v>
      </c>
      <c r="AD381" s="26" t="s">
        <v>117</v>
      </c>
      <c r="AE381" s="7">
        <v>349</v>
      </c>
      <c r="AF381" s="6">
        <v>455</v>
      </c>
      <c r="AG381" s="10">
        <v>11</v>
      </c>
      <c r="AH381" s="31" t="s">
        <v>54</v>
      </c>
    </row>
    <row r="382" ht="13.9" spans="1:34">
      <c r="A382" s="6">
        <v>2219</v>
      </c>
      <c r="B382" s="7">
        <v>0.2</v>
      </c>
      <c r="C382" s="6">
        <v>0.3</v>
      </c>
      <c r="D382" s="6">
        <v>6.3</v>
      </c>
      <c r="E382" s="6">
        <v>0.3</v>
      </c>
      <c r="F382" s="6">
        <v>0.02</v>
      </c>
      <c r="G382" s="6">
        <v>0</v>
      </c>
      <c r="H382" s="6">
        <v>0.1</v>
      </c>
      <c r="I382" s="6">
        <v>0.1</v>
      </c>
      <c r="J382" s="6">
        <v>0.06</v>
      </c>
      <c r="K382" s="6">
        <v>0.175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8">
        <f t="shared" si="16"/>
        <v>92.445</v>
      </c>
      <c r="U382" s="7">
        <v>535</v>
      </c>
      <c r="V382" s="6">
        <v>175</v>
      </c>
      <c r="W382" s="6">
        <v>18</v>
      </c>
      <c r="X382" s="6" t="s">
        <v>53</v>
      </c>
      <c r="Y382" s="6" t="s">
        <v>73</v>
      </c>
      <c r="Z382" s="6" t="s">
        <v>79</v>
      </c>
      <c r="AA382" s="6" t="s">
        <v>74</v>
      </c>
      <c r="AB382" s="6" t="s">
        <v>37</v>
      </c>
      <c r="AC382" s="6" t="s">
        <v>53</v>
      </c>
      <c r="AD382" s="26" t="s">
        <v>83</v>
      </c>
      <c r="AE382" s="7">
        <v>349</v>
      </c>
      <c r="AF382" s="6">
        <v>455</v>
      </c>
      <c r="AG382" s="34">
        <v>11</v>
      </c>
      <c r="AH382" s="31" t="s">
        <v>54</v>
      </c>
    </row>
    <row r="383" ht="13.9" spans="1:34">
      <c r="A383" s="6">
        <v>2219</v>
      </c>
      <c r="B383" s="7">
        <v>0.2</v>
      </c>
      <c r="C383" s="6">
        <v>0.3</v>
      </c>
      <c r="D383" s="6">
        <v>6.3</v>
      </c>
      <c r="E383" s="6">
        <v>0.3</v>
      </c>
      <c r="F383" s="6">
        <v>0.02</v>
      </c>
      <c r="G383" s="6">
        <v>0</v>
      </c>
      <c r="H383" s="6">
        <v>0.1</v>
      </c>
      <c r="I383" s="6">
        <v>0.1</v>
      </c>
      <c r="J383" s="6">
        <v>0.06</v>
      </c>
      <c r="K383" s="6">
        <v>0.175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8">
        <f t="shared" si="16"/>
        <v>92.445</v>
      </c>
      <c r="U383" s="7">
        <v>535</v>
      </c>
      <c r="V383" s="6">
        <v>165</v>
      </c>
      <c r="W383" s="6">
        <v>24</v>
      </c>
      <c r="X383" s="6" t="s">
        <v>42</v>
      </c>
      <c r="Y383" s="6" t="s">
        <v>73</v>
      </c>
      <c r="Z383" s="6" t="s">
        <v>132</v>
      </c>
      <c r="AA383" s="6" t="s">
        <v>74</v>
      </c>
      <c r="AB383" s="6" t="s">
        <v>37</v>
      </c>
      <c r="AC383" s="6" t="s">
        <v>43</v>
      </c>
      <c r="AD383" s="26" t="s">
        <v>133</v>
      </c>
      <c r="AE383" s="7">
        <v>360</v>
      </c>
      <c r="AF383" s="6">
        <v>440</v>
      </c>
      <c r="AG383" s="10">
        <v>5.5</v>
      </c>
      <c r="AH383" s="31" t="s">
        <v>54</v>
      </c>
    </row>
    <row r="384" ht="13.9" spans="1:34">
      <c r="A384" s="6">
        <v>2219</v>
      </c>
      <c r="B384" s="7">
        <v>0.2</v>
      </c>
      <c r="C384" s="6">
        <v>0.3</v>
      </c>
      <c r="D384" s="6">
        <v>6.3</v>
      </c>
      <c r="E384" s="6">
        <v>0.3</v>
      </c>
      <c r="F384" s="6">
        <v>0.02</v>
      </c>
      <c r="G384" s="6">
        <v>0</v>
      </c>
      <c r="H384" s="6">
        <v>0.1</v>
      </c>
      <c r="I384" s="6">
        <v>0.1</v>
      </c>
      <c r="J384" s="6">
        <v>0.06</v>
      </c>
      <c r="K384" s="6">
        <v>0.175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8">
        <f t="shared" si="16"/>
        <v>92.445</v>
      </c>
      <c r="U384" s="7">
        <v>535</v>
      </c>
      <c r="V384" s="6">
        <v>165</v>
      </c>
      <c r="W384" s="6">
        <v>24</v>
      </c>
      <c r="X384" s="6" t="s">
        <v>42</v>
      </c>
      <c r="Y384" s="6" t="s">
        <v>73</v>
      </c>
      <c r="Z384" s="6" t="s">
        <v>132</v>
      </c>
      <c r="AA384" s="6" t="s">
        <v>74</v>
      </c>
      <c r="AB384" s="6" t="s">
        <v>37</v>
      </c>
      <c r="AC384" s="6" t="s">
        <v>59</v>
      </c>
      <c r="AD384" s="26" t="s">
        <v>133</v>
      </c>
      <c r="AE384" s="7">
        <v>345</v>
      </c>
      <c r="AF384" s="6">
        <v>428</v>
      </c>
      <c r="AG384" s="34">
        <v>4.5</v>
      </c>
      <c r="AH384" s="31" t="s">
        <v>54</v>
      </c>
    </row>
    <row r="385" ht="13.9" spans="1:34">
      <c r="A385" s="6">
        <v>2219</v>
      </c>
      <c r="B385" s="7">
        <v>0.2</v>
      </c>
      <c r="C385" s="6">
        <v>0.3</v>
      </c>
      <c r="D385" s="6">
        <v>6.3</v>
      </c>
      <c r="E385" s="6">
        <v>0.3</v>
      </c>
      <c r="F385" s="6">
        <v>0.02</v>
      </c>
      <c r="G385" s="6">
        <v>0</v>
      </c>
      <c r="H385" s="6">
        <v>0.1</v>
      </c>
      <c r="I385" s="6">
        <v>0.1</v>
      </c>
      <c r="J385" s="6">
        <v>0.06</v>
      </c>
      <c r="K385" s="6">
        <v>0.175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8">
        <f t="shared" si="16"/>
        <v>92.445</v>
      </c>
      <c r="U385" s="7">
        <v>535</v>
      </c>
      <c r="V385" s="6">
        <v>175</v>
      </c>
      <c r="W385" s="6">
        <v>18</v>
      </c>
      <c r="X385" s="6" t="s">
        <v>42</v>
      </c>
      <c r="Y385" s="6" t="s">
        <v>73</v>
      </c>
      <c r="Z385" s="6" t="s">
        <v>79</v>
      </c>
      <c r="AA385" s="6" t="s">
        <v>74</v>
      </c>
      <c r="AB385" s="6" t="s">
        <v>37</v>
      </c>
      <c r="AC385" s="6" t="s">
        <v>43</v>
      </c>
      <c r="AD385" s="26" t="s">
        <v>83</v>
      </c>
      <c r="AE385" s="7">
        <v>315</v>
      </c>
      <c r="AF385" s="6">
        <v>425</v>
      </c>
      <c r="AG385" s="10">
        <v>6.5</v>
      </c>
      <c r="AH385" s="31" t="s">
        <v>54</v>
      </c>
    </row>
    <row r="386" ht="13.9" spans="1:34">
      <c r="A386" s="6">
        <v>2219</v>
      </c>
      <c r="B386" s="7">
        <v>0.2</v>
      </c>
      <c r="C386" s="6">
        <v>0.3</v>
      </c>
      <c r="D386" s="6">
        <v>6.3</v>
      </c>
      <c r="E386" s="6">
        <v>0.3</v>
      </c>
      <c r="F386" s="6">
        <v>0.02</v>
      </c>
      <c r="G386" s="6">
        <v>0</v>
      </c>
      <c r="H386" s="6">
        <v>0.1</v>
      </c>
      <c r="I386" s="6">
        <v>0.1</v>
      </c>
      <c r="J386" s="6">
        <v>0.06</v>
      </c>
      <c r="K386" s="6">
        <v>0.175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8">
        <f t="shared" si="16"/>
        <v>92.445</v>
      </c>
      <c r="U386" s="7">
        <v>535</v>
      </c>
      <c r="V386" s="6">
        <v>175</v>
      </c>
      <c r="W386" s="6">
        <v>18</v>
      </c>
      <c r="X386" s="6" t="s">
        <v>96</v>
      </c>
      <c r="Y386" s="6" t="s">
        <v>73</v>
      </c>
      <c r="Z386" s="6" t="s">
        <v>93</v>
      </c>
      <c r="AA386" s="6" t="s">
        <v>74</v>
      </c>
      <c r="AB386" s="6" t="s">
        <v>37</v>
      </c>
      <c r="AC386" s="6" t="s">
        <v>97</v>
      </c>
      <c r="AD386" s="26" t="s">
        <v>134</v>
      </c>
      <c r="AE386" s="7">
        <v>333</v>
      </c>
      <c r="AF386" s="6">
        <v>422</v>
      </c>
      <c r="AG386" s="34">
        <v>4.3</v>
      </c>
      <c r="AH386" s="31" t="s">
        <v>54</v>
      </c>
    </row>
    <row r="387" ht="13.9" spans="1:34">
      <c r="A387" s="6">
        <v>2219</v>
      </c>
      <c r="B387" s="7">
        <v>0.2</v>
      </c>
      <c r="C387" s="6">
        <v>0.3</v>
      </c>
      <c r="D387" s="6">
        <v>6.3</v>
      </c>
      <c r="E387" s="6">
        <v>0.3</v>
      </c>
      <c r="F387" s="6">
        <v>0.02</v>
      </c>
      <c r="G387" s="6">
        <v>0</v>
      </c>
      <c r="H387" s="6">
        <v>0.1</v>
      </c>
      <c r="I387" s="6">
        <v>0.1</v>
      </c>
      <c r="J387" s="6">
        <v>0.06</v>
      </c>
      <c r="K387" s="6">
        <v>0.175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8">
        <f t="shared" si="16"/>
        <v>92.445</v>
      </c>
      <c r="U387" s="7">
        <v>535</v>
      </c>
      <c r="V387" s="6">
        <v>175</v>
      </c>
      <c r="W387" s="6">
        <v>18</v>
      </c>
      <c r="X387" s="6" t="s">
        <v>42</v>
      </c>
      <c r="Y387" s="6" t="s">
        <v>73</v>
      </c>
      <c r="Z387" s="6" t="s">
        <v>84</v>
      </c>
      <c r="AA387" s="6" t="s">
        <v>74</v>
      </c>
      <c r="AB387" s="6" t="s">
        <v>37</v>
      </c>
      <c r="AC387" s="6" t="s">
        <v>59</v>
      </c>
      <c r="AD387" s="26" t="s">
        <v>117</v>
      </c>
      <c r="AE387" s="7">
        <v>303</v>
      </c>
      <c r="AF387" s="6">
        <v>413</v>
      </c>
      <c r="AG387" s="10">
        <v>5.5</v>
      </c>
      <c r="AH387" s="31" t="s">
        <v>54</v>
      </c>
    </row>
    <row r="388" ht="13.9" spans="1:34">
      <c r="A388" s="6">
        <v>2219</v>
      </c>
      <c r="B388" s="7">
        <v>0.2</v>
      </c>
      <c r="C388" s="6">
        <v>0.3</v>
      </c>
      <c r="D388" s="6">
        <v>6.3</v>
      </c>
      <c r="E388" s="6">
        <v>0.3</v>
      </c>
      <c r="F388" s="6">
        <v>0.02</v>
      </c>
      <c r="G388" s="6">
        <v>0</v>
      </c>
      <c r="H388" s="6">
        <v>0.1</v>
      </c>
      <c r="I388" s="6">
        <v>0.1</v>
      </c>
      <c r="J388" s="6">
        <v>0.06</v>
      </c>
      <c r="K388" s="6">
        <v>0.175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8">
        <f t="shared" si="16"/>
        <v>92.445</v>
      </c>
      <c r="U388" s="7">
        <v>535</v>
      </c>
      <c r="V388" s="6">
        <v>190</v>
      </c>
      <c r="W388" s="6">
        <v>36</v>
      </c>
      <c r="X388" s="6" t="s">
        <v>53</v>
      </c>
      <c r="Y388" s="6" t="s">
        <v>73</v>
      </c>
      <c r="Z388" s="6" t="s">
        <v>37</v>
      </c>
      <c r="AA388" s="6" t="s">
        <v>74</v>
      </c>
      <c r="AB388" s="6" t="s">
        <v>37</v>
      </c>
      <c r="AC388" s="6" t="s">
        <v>53</v>
      </c>
      <c r="AD388" s="26" t="s">
        <v>77</v>
      </c>
      <c r="AE388" s="7">
        <v>283</v>
      </c>
      <c r="AF388" s="6">
        <v>407</v>
      </c>
      <c r="AG388" s="34">
        <v>11</v>
      </c>
      <c r="AH388" s="31" t="s">
        <v>54</v>
      </c>
    </row>
    <row r="389" ht="13.9" spans="1:34">
      <c r="A389" s="6">
        <v>2219</v>
      </c>
      <c r="B389" s="7">
        <v>0.2</v>
      </c>
      <c r="C389" s="6">
        <v>0.3</v>
      </c>
      <c r="D389" s="6">
        <v>6.3</v>
      </c>
      <c r="E389" s="6">
        <v>0.3</v>
      </c>
      <c r="F389" s="6">
        <v>0.02</v>
      </c>
      <c r="G389" s="6">
        <v>0</v>
      </c>
      <c r="H389" s="6">
        <v>0.1</v>
      </c>
      <c r="I389" s="6">
        <v>0.1</v>
      </c>
      <c r="J389" s="6">
        <v>0.06</v>
      </c>
      <c r="K389" s="6">
        <v>0.175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8">
        <f t="shared" si="16"/>
        <v>92.445</v>
      </c>
      <c r="U389" s="7">
        <v>535</v>
      </c>
      <c r="V389" s="6">
        <v>190</v>
      </c>
      <c r="W389" s="6">
        <v>18</v>
      </c>
      <c r="X389" s="6" t="s">
        <v>42</v>
      </c>
      <c r="Y389" s="6" t="s">
        <v>73</v>
      </c>
      <c r="Z389" s="6" t="s">
        <v>84</v>
      </c>
      <c r="AA389" s="6" t="s">
        <v>74</v>
      </c>
      <c r="AB389" s="6" t="s">
        <v>37</v>
      </c>
      <c r="AC389" s="6" t="s">
        <v>51</v>
      </c>
      <c r="AD389" s="26" t="s">
        <v>117</v>
      </c>
      <c r="AE389" s="7">
        <v>273</v>
      </c>
      <c r="AF389" s="6">
        <v>398</v>
      </c>
      <c r="AG389" s="10">
        <v>4</v>
      </c>
      <c r="AH389" s="31" t="s">
        <v>54</v>
      </c>
    </row>
    <row r="390" ht="13.9" spans="1:34">
      <c r="A390" s="6">
        <v>2219</v>
      </c>
      <c r="B390" s="7">
        <v>0.2</v>
      </c>
      <c r="C390" s="6">
        <v>0.3</v>
      </c>
      <c r="D390" s="6">
        <v>6.3</v>
      </c>
      <c r="E390" s="6">
        <v>0.3</v>
      </c>
      <c r="F390" s="6">
        <v>0.02</v>
      </c>
      <c r="G390" s="6">
        <v>0</v>
      </c>
      <c r="H390" s="6">
        <v>0.1</v>
      </c>
      <c r="I390" s="6">
        <v>0.1</v>
      </c>
      <c r="J390" s="6">
        <v>0.06</v>
      </c>
      <c r="K390" s="6">
        <v>0.175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8">
        <f t="shared" si="16"/>
        <v>92.445</v>
      </c>
      <c r="U390" s="7">
        <v>535</v>
      </c>
      <c r="V390" s="6">
        <v>190</v>
      </c>
      <c r="W390" s="6">
        <v>18</v>
      </c>
      <c r="X390" s="6" t="s">
        <v>42</v>
      </c>
      <c r="Y390" s="6" t="s">
        <v>73</v>
      </c>
      <c r="Z390" s="6" t="s">
        <v>84</v>
      </c>
      <c r="AA390" s="6" t="s">
        <v>74</v>
      </c>
      <c r="AB390" s="6" t="s">
        <v>37</v>
      </c>
      <c r="AC390" s="6" t="s">
        <v>69</v>
      </c>
      <c r="AD390" s="26" t="s">
        <v>117</v>
      </c>
      <c r="AE390" s="7">
        <v>273</v>
      </c>
      <c r="AF390" s="6">
        <v>398</v>
      </c>
      <c r="AG390" s="10">
        <v>4</v>
      </c>
      <c r="AH390" s="31" t="s">
        <v>54</v>
      </c>
    </row>
    <row r="391" ht="13.9" spans="1:34">
      <c r="A391" s="6">
        <v>2219</v>
      </c>
      <c r="B391" s="7">
        <v>0.2</v>
      </c>
      <c r="C391" s="6">
        <v>0.3</v>
      </c>
      <c r="D391" s="6">
        <v>6.3</v>
      </c>
      <c r="E391" s="6">
        <v>0.3</v>
      </c>
      <c r="F391" s="6">
        <v>0.02</v>
      </c>
      <c r="G391" s="6">
        <v>0</v>
      </c>
      <c r="H391" s="6">
        <v>0.1</v>
      </c>
      <c r="I391" s="6">
        <v>0.1</v>
      </c>
      <c r="J391" s="6">
        <v>0.06</v>
      </c>
      <c r="K391" s="6">
        <v>0.175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8">
        <f t="shared" si="16"/>
        <v>92.445</v>
      </c>
      <c r="U391" s="7">
        <v>535</v>
      </c>
      <c r="V391" s="6">
        <v>190</v>
      </c>
      <c r="W391" s="6">
        <v>18</v>
      </c>
      <c r="X391" s="6" t="s">
        <v>42</v>
      </c>
      <c r="Y391" s="6" t="s">
        <v>73</v>
      </c>
      <c r="Z391" s="6" t="s">
        <v>84</v>
      </c>
      <c r="AA391" s="6" t="s">
        <v>74</v>
      </c>
      <c r="AB391" s="6" t="s">
        <v>37</v>
      </c>
      <c r="AC391" s="6" t="s">
        <v>38</v>
      </c>
      <c r="AD391" s="26" t="s">
        <v>117</v>
      </c>
      <c r="AE391" s="7">
        <v>273</v>
      </c>
      <c r="AF391" s="6">
        <v>398</v>
      </c>
      <c r="AG391" s="10">
        <v>4</v>
      </c>
      <c r="AH391" s="31" t="s">
        <v>54</v>
      </c>
    </row>
    <row r="392" ht="13.9" spans="1:34">
      <c r="A392" s="6">
        <v>2219</v>
      </c>
      <c r="B392" s="7">
        <v>0.2</v>
      </c>
      <c r="C392" s="6">
        <v>0.3</v>
      </c>
      <c r="D392" s="6">
        <v>6.3</v>
      </c>
      <c r="E392" s="6">
        <v>0.3</v>
      </c>
      <c r="F392" s="6">
        <v>0.02</v>
      </c>
      <c r="G392" s="6">
        <v>0</v>
      </c>
      <c r="H392" s="6">
        <v>0.1</v>
      </c>
      <c r="I392" s="6">
        <v>0.1</v>
      </c>
      <c r="J392" s="6">
        <v>0.06</v>
      </c>
      <c r="K392" s="6">
        <v>0.175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8">
        <f t="shared" si="16"/>
        <v>92.445</v>
      </c>
      <c r="U392" s="7">
        <v>535</v>
      </c>
      <c r="V392" s="6">
        <v>25</v>
      </c>
      <c r="W392" s="6">
        <v>0</v>
      </c>
      <c r="X392" s="6" t="s">
        <v>53</v>
      </c>
      <c r="Y392" s="6" t="s">
        <v>73</v>
      </c>
      <c r="Z392" s="6" t="s">
        <v>132</v>
      </c>
      <c r="AA392" s="6" t="s">
        <v>80</v>
      </c>
      <c r="AB392" s="6" t="s">
        <v>37</v>
      </c>
      <c r="AC392" s="6" t="s">
        <v>53</v>
      </c>
      <c r="AD392" s="26" t="s">
        <v>135</v>
      </c>
      <c r="AE392" s="7">
        <v>317</v>
      </c>
      <c r="AF392" s="6">
        <v>393</v>
      </c>
      <c r="AG392" s="10">
        <v>11</v>
      </c>
      <c r="AH392" s="31" t="s">
        <v>54</v>
      </c>
    </row>
    <row r="393" ht="13.9" spans="1:34">
      <c r="A393" s="6">
        <v>2219</v>
      </c>
      <c r="B393" s="7">
        <v>0.2</v>
      </c>
      <c r="C393" s="6">
        <v>0.3</v>
      </c>
      <c r="D393" s="6">
        <v>6.3</v>
      </c>
      <c r="E393" s="6">
        <v>0.3</v>
      </c>
      <c r="F393" s="6">
        <v>0.02</v>
      </c>
      <c r="G393" s="6">
        <v>0</v>
      </c>
      <c r="H393" s="6">
        <v>0.1</v>
      </c>
      <c r="I393" s="6">
        <v>0.1</v>
      </c>
      <c r="J393" s="6">
        <v>0.06</v>
      </c>
      <c r="K393" s="6">
        <v>0.175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8">
        <f t="shared" si="16"/>
        <v>92.445</v>
      </c>
      <c r="U393" s="7">
        <v>535</v>
      </c>
      <c r="V393" s="6">
        <v>190</v>
      </c>
      <c r="W393" s="6">
        <v>26</v>
      </c>
      <c r="X393" s="6" t="s">
        <v>96</v>
      </c>
      <c r="Y393" s="6" t="s">
        <v>73</v>
      </c>
      <c r="Z393" s="6" t="s">
        <v>37</v>
      </c>
      <c r="AA393" s="6" t="s">
        <v>74</v>
      </c>
      <c r="AB393" s="6" t="s">
        <v>37</v>
      </c>
      <c r="AC393" s="6" t="s">
        <v>97</v>
      </c>
      <c r="AD393" s="26" t="s">
        <v>77</v>
      </c>
      <c r="AE393" s="7">
        <v>256</v>
      </c>
      <c r="AF393" s="6">
        <v>388</v>
      </c>
      <c r="AG393" s="34">
        <v>5</v>
      </c>
      <c r="AH393" s="31" t="s">
        <v>54</v>
      </c>
    </row>
    <row r="394" ht="13.9" spans="1:34">
      <c r="A394" s="6">
        <v>2219</v>
      </c>
      <c r="B394" s="7">
        <v>0.2</v>
      </c>
      <c r="C394" s="6">
        <v>0.3</v>
      </c>
      <c r="D394" s="6">
        <v>6.3</v>
      </c>
      <c r="E394" s="6">
        <v>0.3</v>
      </c>
      <c r="F394" s="6">
        <v>0.02</v>
      </c>
      <c r="G394" s="6">
        <v>0</v>
      </c>
      <c r="H394" s="6">
        <v>0.1</v>
      </c>
      <c r="I394" s="6">
        <v>0.1</v>
      </c>
      <c r="J394" s="6">
        <v>0.06</v>
      </c>
      <c r="K394" s="6">
        <v>0.175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8">
        <f t="shared" si="16"/>
        <v>92.445</v>
      </c>
      <c r="U394" s="7">
        <v>535</v>
      </c>
      <c r="V394" s="6">
        <v>190</v>
      </c>
      <c r="W394" s="6">
        <v>26</v>
      </c>
      <c r="X394" s="6" t="s">
        <v>42</v>
      </c>
      <c r="Y394" s="6" t="s">
        <v>73</v>
      </c>
      <c r="Z394" s="6" t="s">
        <v>37</v>
      </c>
      <c r="AA394" s="6" t="s">
        <v>74</v>
      </c>
      <c r="AB394" s="6" t="s">
        <v>37</v>
      </c>
      <c r="AC394" s="6" t="s">
        <v>94</v>
      </c>
      <c r="AD394" s="26" t="s">
        <v>77</v>
      </c>
      <c r="AE394" s="7">
        <v>257</v>
      </c>
      <c r="AF394" s="6">
        <v>377</v>
      </c>
      <c r="AG394" s="34">
        <v>4</v>
      </c>
      <c r="AH394" s="31" t="s">
        <v>54</v>
      </c>
    </row>
    <row r="395" ht="13.9" spans="1:34">
      <c r="A395" s="6">
        <v>2219</v>
      </c>
      <c r="B395" s="7">
        <v>0.2</v>
      </c>
      <c r="C395" s="6">
        <v>0.3</v>
      </c>
      <c r="D395" s="6">
        <v>6.3</v>
      </c>
      <c r="E395" s="6">
        <v>0.3</v>
      </c>
      <c r="F395" s="6">
        <v>0.02</v>
      </c>
      <c r="G395" s="6">
        <v>0</v>
      </c>
      <c r="H395" s="6">
        <v>0.1</v>
      </c>
      <c r="I395" s="6">
        <v>0.1</v>
      </c>
      <c r="J395" s="6">
        <v>0.06</v>
      </c>
      <c r="K395" s="6">
        <v>0.175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8">
        <f t="shared" si="16"/>
        <v>92.445</v>
      </c>
      <c r="U395" s="7">
        <v>535</v>
      </c>
      <c r="V395" s="6">
        <v>190</v>
      </c>
      <c r="W395" s="6">
        <v>36</v>
      </c>
      <c r="X395" s="6" t="s">
        <v>44</v>
      </c>
      <c r="Y395" s="6" t="s">
        <v>73</v>
      </c>
      <c r="Z395" s="6" t="s">
        <v>84</v>
      </c>
      <c r="AA395" s="6" t="s">
        <v>74</v>
      </c>
      <c r="AB395" s="6" t="s">
        <v>37</v>
      </c>
      <c r="AC395" s="5" t="s">
        <v>51</v>
      </c>
      <c r="AD395" s="26" t="s">
        <v>117</v>
      </c>
      <c r="AE395" s="7">
        <v>250</v>
      </c>
      <c r="AF395" s="6">
        <v>370</v>
      </c>
      <c r="AG395" s="34">
        <v>6</v>
      </c>
      <c r="AH395" s="31" t="s">
        <v>54</v>
      </c>
    </row>
    <row r="396" ht="13.9" spans="1:34">
      <c r="A396" s="6">
        <v>2219</v>
      </c>
      <c r="B396" s="7">
        <v>0.2</v>
      </c>
      <c r="C396" s="6">
        <v>0.3</v>
      </c>
      <c r="D396" s="6">
        <v>6.3</v>
      </c>
      <c r="E396" s="6">
        <v>0.3</v>
      </c>
      <c r="F396" s="6">
        <v>0.02</v>
      </c>
      <c r="G396" s="6">
        <v>0</v>
      </c>
      <c r="H396" s="6">
        <v>0.1</v>
      </c>
      <c r="I396" s="6">
        <v>0.1</v>
      </c>
      <c r="J396" s="6">
        <v>0.06</v>
      </c>
      <c r="K396" s="6">
        <v>0.175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8">
        <f t="shared" si="16"/>
        <v>92.445</v>
      </c>
      <c r="U396" s="7">
        <v>535</v>
      </c>
      <c r="V396" s="6">
        <v>190</v>
      </c>
      <c r="W396" s="6">
        <v>36</v>
      </c>
      <c r="X396" s="6" t="s">
        <v>44</v>
      </c>
      <c r="Y396" s="6" t="s">
        <v>73</v>
      </c>
      <c r="Z396" s="6" t="s">
        <v>37</v>
      </c>
      <c r="AA396" s="6" t="s">
        <v>74</v>
      </c>
      <c r="AB396" s="6" t="s">
        <v>37</v>
      </c>
      <c r="AC396" s="5" t="s">
        <v>51</v>
      </c>
      <c r="AD396" s="26" t="s">
        <v>77</v>
      </c>
      <c r="AE396" s="7">
        <v>250</v>
      </c>
      <c r="AF396" s="6">
        <v>370</v>
      </c>
      <c r="AG396" s="10">
        <v>6</v>
      </c>
      <c r="AH396" s="31" t="s">
        <v>54</v>
      </c>
    </row>
    <row r="397" ht="13.9" spans="1:34">
      <c r="A397" s="6">
        <v>2219</v>
      </c>
      <c r="B397" s="7">
        <v>0.2</v>
      </c>
      <c r="C397" s="6">
        <v>0.3</v>
      </c>
      <c r="D397" s="6">
        <v>6.3</v>
      </c>
      <c r="E397" s="6">
        <v>0.3</v>
      </c>
      <c r="F397" s="6">
        <v>0.02</v>
      </c>
      <c r="G397" s="6">
        <v>0</v>
      </c>
      <c r="H397" s="6">
        <v>0.1</v>
      </c>
      <c r="I397" s="6">
        <v>0.1</v>
      </c>
      <c r="J397" s="6">
        <v>0.06</v>
      </c>
      <c r="K397" s="6">
        <v>0.175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8">
        <f t="shared" si="16"/>
        <v>92.445</v>
      </c>
      <c r="U397" s="7">
        <v>535</v>
      </c>
      <c r="V397" s="6">
        <v>190</v>
      </c>
      <c r="W397" s="6">
        <v>36</v>
      </c>
      <c r="X397" s="6" t="s">
        <v>42</v>
      </c>
      <c r="Y397" s="6" t="s">
        <v>73</v>
      </c>
      <c r="Z397" s="6" t="s">
        <v>37</v>
      </c>
      <c r="AA397" s="6" t="s">
        <v>74</v>
      </c>
      <c r="AB397" s="6" t="s">
        <v>37</v>
      </c>
      <c r="AC397" s="6" t="s">
        <v>59</v>
      </c>
      <c r="AD397" s="26" t="s">
        <v>77</v>
      </c>
      <c r="AE397" s="7">
        <v>250</v>
      </c>
      <c r="AF397" s="6">
        <v>370</v>
      </c>
      <c r="AG397" s="10">
        <v>7</v>
      </c>
      <c r="AH397" s="31" t="s">
        <v>54</v>
      </c>
    </row>
    <row r="398" ht="13.9" spans="1:34">
      <c r="A398" s="6">
        <v>2219</v>
      </c>
      <c r="B398" s="7">
        <v>0.2</v>
      </c>
      <c r="C398" s="6">
        <v>0.3</v>
      </c>
      <c r="D398" s="6">
        <v>6.3</v>
      </c>
      <c r="E398" s="6">
        <v>0.3</v>
      </c>
      <c r="F398" s="6">
        <v>0.02</v>
      </c>
      <c r="G398" s="6">
        <v>0</v>
      </c>
      <c r="H398" s="6">
        <v>0.1</v>
      </c>
      <c r="I398" s="6">
        <v>0.1</v>
      </c>
      <c r="J398" s="6">
        <v>0.06</v>
      </c>
      <c r="K398" s="6">
        <v>0.175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8">
        <f t="shared" si="16"/>
        <v>92.445</v>
      </c>
      <c r="U398" s="7">
        <v>535</v>
      </c>
      <c r="V398" s="6">
        <v>190</v>
      </c>
      <c r="W398" s="6">
        <v>36</v>
      </c>
      <c r="X398" s="6" t="s">
        <v>42</v>
      </c>
      <c r="Y398" s="6" t="s">
        <v>73</v>
      </c>
      <c r="Z398" s="6" t="s">
        <v>37</v>
      </c>
      <c r="AA398" s="6" t="s">
        <v>74</v>
      </c>
      <c r="AB398" s="6" t="s">
        <v>37</v>
      </c>
      <c r="AC398" s="6" t="s">
        <v>43</v>
      </c>
      <c r="AD398" s="26" t="s">
        <v>77</v>
      </c>
      <c r="AE398" s="7">
        <v>250</v>
      </c>
      <c r="AF398" s="6">
        <v>370</v>
      </c>
      <c r="AG398" s="10">
        <v>7</v>
      </c>
      <c r="AH398" s="31" t="s">
        <v>54</v>
      </c>
    </row>
    <row r="399" ht="13.9" spans="1:34">
      <c r="A399" s="6">
        <v>2219</v>
      </c>
      <c r="B399" s="7">
        <v>0.2</v>
      </c>
      <c r="C399" s="6">
        <v>0.3</v>
      </c>
      <c r="D399" s="6">
        <v>6.3</v>
      </c>
      <c r="E399" s="6">
        <v>0.3</v>
      </c>
      <c r="F399" s="6">
        <v>0.02</v>
      </c>
      <c r="G399" s="6">
        <v>0</v>
      </c>
      <c r="H399" s="6">
        <v>0.1</v>
      </c>
      <c r="I399" s="6">
        <v>0.1</v>
      </c>
      <c r="J399" s="6">
        <v>0.06</v>
      </c>
      <c r="K399" s="6">
        <v>0.175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8">
        <f t="shared" si="16"/>
        <v>92.445</v>
      </c>
      <c r="U399" s="7">
        <v>535</v>
      </c>
      <c r="V399" s="6">
        <v>190</v>
      </c>
      <c r="W399" s="6">
        <v>36</v>
      </c>
      <c r="X399" s="6" t="s">
        <v>44</v>
      </c>
      <c r="Y399" s="6" t="s">
        <v>73</v>
      </c>
      <c r="Z399" s="6" t="s">
        <v>79</v>
      </c>
      <c r="AA399" s="6" t="s">
        <v>74</v>
      </c>
      <c r="AB399" s="6" t="s">
        <v>37</v>
      </c>
      <c r="AC399" s="6" t="s">
        <v>51</v>
      </c>
      <c r="AD399" s="26" t="s">
        <v>83</v>
      </c>
      <c r="AE399" s="7">
        <v>250</v>
      </c>
      <c r="AF399" s="6">
        <v>370</v>
      </c>
      <c r="AG399" s="10">
        <v>6</v>
      </c>
      <c r="AH399" s="31" t="s">
        <v>54</v>
      </c>
    </row>
    <row r="400" ht="13.9" spans="1:34">
      <c r="A400" s="6">
        <v>2219</v>
      </c>
      <c r="B400" s="7">
        <v>0.2</v>
      </c>
      <c r="C400" s="6">
        <v>0.3</v>
      </c>
      <c r="D400" s="6">
        <v>6.3</v>
      </c>
      <c r="E400" s="6">
        <v>0.3</v>
      </c>
      <c r="F400" s="6">
        <v>0.02</v>
      </c>
      <c r="G400" s="6">
        <v>0</v>
      </c>
      <c r="H400" s="6">
        <v>0.1</v>
      </c>
      <c r="I400" s="6">
        <v>0.1</v>
      </c>
      <c r="J400" s="6">
        <v>0.06</v>
      </c>
      <c r="K400" s="6">
        <v>0.175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8">
        <f t="shared" si="16"/>
        <v>92.445</v>
      </c>
      <c r="U400" s="7">
        <v>535</v>
      </c>
      <c r="V400" s="6">
        <v>190</v>
      </c>
      <c r="W400" s="6">
        <v>36</v>
      </c>
      <c r="X400" s="6" t="s">
        <v>44</v>
      </c>
      <c r="Y400" s="6" t="s">
        <v>73</v>
      </c>
      <c r="Z400" s="6" t="s">
        <v>84</v>
      </c>
      <c r="AA400" s="6" t="s">
        <v>74</v>
      </c>
      <c r="AB400" s="6" t="s">
        <v>37</v>
      </c>
      <c r="AC400" s="6" t="s">
        <v>69</v>
      </c>
      <c r="AD400" s="26" t="s">
        <v>117</v>
      </c>
      <c r="AE400" s="7">
        <v>250</v>
      </c>
      <c r="AF400" s="6">
        <v>370</v>
      </c>
      <c r="AG400" s="10">
        <v>6</v>
      </c>
      <c r="AH400" s="31" t="s">
        <v>54</v>
      </c>
    </row>
    <row r="401" ht="13.9" spans="1:34">
      <c r="A401" s="6">
        <v>2219</v>
      </c>
      <c r="B401" s="7">
        <v>0.2</v>
      </c>
      <c r="C401" s="6">
        <v>0.3</v>
      </c>
      <c r="D401" s="6">
        <v>6.3</v>
      </c>
      <c r="E401" s="6">
        <v>0.3</v>
      </c>
      <c r="F401" s="6">
        <v>0.02</v>
      </c>
      <c r="G401" s="6">
        <v>0</v>
      </c>
      <c r="H401" s="6">
        <v>0.1</v>
      </c>
      <c r="I401" s="6">
        <v>0.1</v>
      </c>
      <c r="J401" s="6">
        <v>0.06</v>
      </c>
      <c r="K401" s="6">
        <v>0.175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8">
        <f t="shared" si="16"/>
        <v>92.445</v>
      </c>
      <c r="U401" s="7">
        <v>535</v>
      </c>
      <c r="V401" s="6">
        <v>190</v>
      </c>
      <c r="W401" s="6">
        <v>36</v>
      </c>
      <c r="X401" s="6" t="s">
        <v>44</v>
      </c>
      <c r="Y401" s="6" t="s">
        <v>73</v>
      </c>
      <c r="Z401" s="6" t="s">
        <v>37</v>
      </c>
      <c r="AA401" s="6" t="s">
        <v>74</v>
      </c>
      <c r="AB401" s="6" t="s">
        <v>37</v>
      </c>
      <c r="AC401" s="6" t="s">
        <v>69</v>
      </c>
      <c r="AD401" s="26" t="s">
        <v>77</v>
      </c>
      <c r="AE401" s="7">
        <v>250</v>
      </c>
      <c r="AF401" s="6">
        <v>370</v>
      </c>
      <c r="AG401" s="10">
        <v>6</v>
      </c>
      <c r="AH401" s="31" t="s">
        <v>54</v>
      </c>
    </row>
    <row r="402" ht="13.9" spans="1:34">
      <c r="A402" s="6">
        <v>2219</v>
      </c>
      <c r="B402" s="7">
        <v>0.2</v>
      </c>
      <c r="C402" s="6">
        <v>0.3</v>
      </c>
      <c r="D402" s="6">
        <v>6.3</v>
      </c>
      <c r="E402" s="6">
        <v>0.3</v>
      </c>
      <c r="F402" s="6">
        <v>0.02</v>
      </c>
      <c r="G402" s="6">
        <v>0</v>
      </c>
      <c r="H402" s="6">
        <v>0.1</v>
      </c>
      <c r="I402" s="6">
        <v>0.1</v>
      </c>
      <c r="J402" s="6">
        <v>0.06</v>
      </c>
      <c r="K402" s="6">
        <v>0.175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8">
        <f t="shared" ref="T402:T431" si="17">100-SUM(B402:S402)</f>
        <v>92.445</v>
      </c>
      <c r="U402" s="7">
        <v>535</v>
      </c>
      <c r="V402" s="6">
        <v>190</v>
      </c>
      <c r="W402" s="6">
        <v>36</v>
      </c>
      <c r="X402" s="6" t="s">
        <v>44</v>
      </c>
      <c r="Y402" s="6" t="s">
        <v>73</v>
      </c>
      <c r="Z402" s="6" t="s">
        <v>79</v>
      </c>
      <c r="AA402" s="6" t="s">
        <v>74</v>
      </c>
      <c r="AB402" s="6" t="s">
        <v>37</v>
      </c>
      <c r="AC402" s="6" t="s">
        <v>69</v>
      </c>
      <c r="AD402" s="26" t="s">
        <v>83</v>
      </c>
      <c r="AE402" s="7">
        <v>250</v>
      </c>
      <c r="AF402" s="6">
        <v>370</v>
      </c>
      <c r="AG402" s="10">
        <v>6</v>
      </c>
      <c r="AH402" s="31" t="s">
        <v>54</v>
      </c>
    </row>
    <row r="403" ht="13.9" spans="1:34">
      <c r="A403" s="6">
        <v>2219</v>
      </c>
      <c r="B403" s="7">
        <v>0.2</v>
      </c>
      <c r="C403" s="6">
        <v>0.3</v>
      </c>
      <c r="D403" s="6">
        <v>6.3</v>
      </c>
      <c r="E403" s="6">
        <v>0.3</v>
      </c>
      <c r="F403" s="6">
        <v>0.02</v>
      </c>
      <c r="G403" s="6">
        <v>0</v>
      </c>
      <c r="H403" s="6">
        <v>0.1</v>
      </c>
      <c r="I403" s="6">
        <v>0.1</v>
      </c>
      <c r="J403" s="6">
        <v>0.06</v>
      </c>
      <c r="K403" s="6">
        <v>0.175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8">
        <f t="shared" si="17"/>
        <v>92.445</v>
      </c>
      <c r="U403" s="7">
        <v>535</v>
      </c>
      <c r="V403" s="6">
        <v>190</v>
      </c>
      <c r="W403" s="6">
        <v>36</v>
      </c>
      <c r="X403" s="6" t="s">
        <v>44</v>
      </c>
      <c r="Y403" s="6" t="s">
        <v>73</v>
      </c>
      <c r="Z403" s="6" t="s">
        <v>84</v>
      </c>
      <c r="AA403" s="6" t="s">
        <v>74</v>
      </c>
      <c r="AB403" s="6" t="s">
        <v>37</v>
      </c>
      <c r="AC403" s="6" t="s">
        <v>45</v>
      </c>
      <c r="AD403" s="26" t="s">
        <v>117</v>
      </c>
      <c r="AE403" s="7">
        <v>250</v>
      </c>
      <c r="AF403" s="6">
        <v>370</v>
      </c>
      <c r="AG403" s="34">
        <v>6</v>
      </c>
      <c r="AH403" s="31" t="s">
        <v>54</v>
      </c>
    </row>
    <row r="404" ht="13.9" spans="1:34">
      <c r="A404" s="6">
        <v>2219</v>
      </c>
      <c r="B404" s="7">
        <v>0.2</v>
      </c>
      <c r="C404" s="6">
        <v>0.3</v>
      </c>
      <c r="D404" s="6">
        <v>6.3</v>
      </c>
      <c r="E404" s="6">
        <v>0.3</v>
      </c>
      <c r="F404" s="6">
        <v>0.02</v>
      </c>
      <c r="G404" s="6">
        <v>0</v>
      </c>
      <c r="H404" s="6">
        <v>0.1</v>
      </c>
      <c r="I404" s="6">
        <v>0.1</v>
      </c>
      <c r="J404" s="6">
        <v>0.06</v>
      </c>
      <c r="K404" s="6">
        <v>0.175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8">
        <f t="shared" si="17"/>
        <v>92.445</v>
      </c>
      <c r="U404" s="7">
        <v>535</v>
      </c>
      <c r="V404" s="6">
        <v>190</v>
      </c>
      <c r="W404" s="6">
        <v>36</v>
      </c>
      <c r="X404" s="6" t="s">
        <v>44</v>
      </c>
      <c r="Y404" s="6" t="s">
        <v>73</v>
      </c>
      <c r="Z404" s="6" t="s">
        <v>37</v>
      </c>
      <c r="AA404" s="6" t="s">
        <v>74</v>
      </c>
      <c r="AB404" s="6" t="s">
        <v>37</v>
      </c>
      <c r="AC404" s="6" t="s">
        <v>45</v>
      </c>
      <c r="AD404" s="26" t="s">
        <v>77</v>
      </c>
      <c r="AE404" s="7">
        <v>250</v>
      </c>
      <c r="AF404" s="6">
        <v>370</v>
      </c>
      <c r="AG404" s="10">
        <v>6</v>
      </c>
      <c r="AH404" s="31" t="s">
        <v>54</v>
      </c>
    </row>
    <row r="405" ht="13.9" spans="1:34">
      <c r="A405" s="6">
        <v>2219</v>
      </c>
      <c r="B405" s="7">
        <v>0.2</v>
      </c>
      <c r="C405" s="6">
        <v>0.3</v>
      </c>
      <c r="D405" s="6">
        <v>6.3</v>
      </c>
      <c r="E405" s="6">
        <v>0.3</v>
      </c>
      <c r="F405" s="6">
        <v>0.02</v>
      </c>
      <c r="G405" s="6">
        <v>0</v>
      </c>
      <c r="H405" s="6">
        <v>0.1</v>
      </c>
      <c r="I405" s="6">
        <v>0.1</v>
      </c>
      <c r="J405" s="6">
        <v>0.06</v>
      </c>
      <c r="K405" s="6">
        <v>0.175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8">
        <f t="shared" si="17"/>
        <v>92.445</v>
      </c>
      <c r="U405" s="7">
        <v>535</v>
      </c>
      <c r="V405" s="6">
        <v>190</v>
      </c>
      <c r="W405" s="6">
        <v>36</v>
      </c>
      <c r="X405" s="6" t="s">
        <v>44</v>
      </c>
      <c r="Y405" s="6" t="s">
        <v>73</v>
      </c>
      <c r="Z405" s="6" t="s">
        <v>79</v>
      </c>
      <c r="AA405" s="6" t="s">
        <v>74</v>
      </c>
      <c r="AB405" s="6" t="s">
        <v>37</v>
      </c>
      <c r="AC405" s="6" t="s">
        <v>45</v>
      </c>
      <c r="AD405" s="26" t="s">
        <v>83</v>
      </c>
      <c r="AE405" s="7">
        <v>250</v>
      </c>
      <c r="AF405" s="6">
        <v>370</v>
      </c>
      <c r="AG405" s="10">
        <v>6</v>
      </c>
      <c r="AH405" s="31" t="s">
        <v>54</v>
      </c>
    </row>
    <row r="406" ht="13.9" spans="1:34">
      <c r="A406" s="6">
        <v>2219</v>
      </c>
      <c r="B406" s="7">
        <v>0.2</v>
      </c>
      <c r="C406" s="6">
        <v>0.3</v>
      </c>
      <c r="D406" s="6">
        <v>6.3</v>
      </c>
      <c r="E406" s="6">
        <v>0.3</v>
      </c>
      <c r="F406" s="6">
        <v>0.02</v>
      </c>
      <c r="G406" s="6">
        <v>0</v>
      </c>
      <c r="H406" s="6">
        <v>0.1</v>
      </c>
      <c r="I406" s="6">
        <v>0.1</v>
      </c>
      <c r="J406" s="6">
        <v>0.06</v>
      </c>
      <c r="K406" s="6">
        <v>0.175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8">
        <f t="shared" si="17"/>
        <v>92.445</v>
      </c>
      <c r="U406" s="7">
        <v>535</v>
      </c>
      <c r="V406" s="6">
        <v>190</v>
      </c>
      <c r="W406" s="6">
        <v>36</v>
      </c>
      <c r="X406" s="6" t="s">
        <v>44</v>
      </c>
      <c r="Y406" s="6" t="s">
        <v>73</v>
      </c>
      <c r="Z406" s="6" t="s">
        <v>84</v>
      </c>
      <c r="AA406" s="6" t="s">
        <v>74</v>
      </c>
      <c r="AB406" s="6" t="s">
        <v>37</v>
      </c>
      <c r="AC406" s="6" t="s">
        <v>38</v>
      </c>
      <c r="AD406" s="26" t="s">
        <v>117</v>
      </c>
      <c r="AE406" s="7">
        <v>250</v>
      </c>
      <c r="AF406" s="6">
        <v>370</v>
      </c>
      <c r="AG406" s="34">
        <v>6</v>
      </c>
      <c r="AH406" s="31" t="s">
        <v>54</v>
      </c>
    </row>
    <row r="407" ht="13.9" spans="1:34">
      <c r="A407" s="6">
        <v>2219</v>
      </c>
      <c r="B407" s="7">
        <v>0.2</v>
      </c>
      <c r="C407" s="6">
        <v>0.3</v>
      </c>
      <c r="D407" s="6">
        <v>6.3</v>
      </c>
      <c r="E407" s="6">
        <v>0.3</v>
      </c>
      <c r="F407" s="6">
        <v>0.02</v>
      </c>
      <c r="G407" s="6">
        <v>0</v>
      </c>
      <c r="H407" s="6">
        <v>0.1</v>
      </c>
      <c r="I407" s="6">
        <v>0.1</v>
      </c>
      <c r="J407" s="6">
        <v>0.06</v>
      </c>
      <c r="K407" s="6">
        <v>0.175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8">
        <f t="shared" si="17"/>
        <v>92.445</v>
      </c>
      <c r="U407" s="7">
        <v>535</v>
      </c>
      <c r="V407" s="6">
        <v>190</v>
      </c>
      <c r="W407" s="6">
        <v>36</v>
      </c>
      <c r="X407" s="6" t="s">
        <v>44</v>
      </c>
      <c r="Y407" s="6" t="s">
        <v>73</v>
      </c>
      <c r="Z407" s="6" t="s">
        <v>37</v>
      </c>
      <c r="AA407" s="6" t="s">
        <v>74</v>
      </c>
      <c r="AB407" s="6" t="s">
        <v>37</v>
      </c>
      <c r="AC407" s="6" t="s">
        <v>38</v>
      </c>
      <c r="AD407" s="26" t="s">
        <v>77</v>
      </c>
      <c r="AE407" s="7">
        <v>250</v>
      </c>
      <c r="AF407" s="6">
        <v>370</v>
      </c>
      <c r="AG407" s="10">
        <v>6</v>
      </c>
      <c r="AH407" s="31" t="s">
        <v>54</v>
      </c>
    </row>
    <row r="408" ht="13.9" spans="1:34">
      <c r="A408" s="6">
        <v>2219</v>
      </c>
      <c r="B408" s="7">
        <v>0.2</v>
      </c>
      <c r="C408" s="6">
        <v>0.3</v>
      </c>
      <c r="D408" s="6">
        <v>6.3</v>
      </c>
      <c r="E408" s="6">
        <v>0.3</v>
      </c>
      <c r="F408" s="6">
        <v>0.02</v>
      </c>
      <c r="G408" s="6">
        <v>0</v>
      </c>
      <c r="H408" s="6">
        <v>0.1</v>
      </c>
      <c r="I408" s="6">
        <v>0.1</v>
      </c>
      <c r="J408" s="6">
        <v>0.06</v>
      </c>
      <c r="K408" s="6">
        <v>0.175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8">
        <f t="shared" si="17"/>
        <v>92.445</v>
      </c>
      <c r="U408" s="7">
        <v>535</v>
      </c>
      <c r="V408" s="6">
        <v>190</v>
      </c>
      <c r="W408" s="6">
        <v>36</v>
      </c>
      <c r="X408" s="6" t="s">
        <v>44</v>
      </c>
      <c r="Y408" s="6" t="s">
        <v>73</v>
      </c>
      <c r="Z408" s="6" t="s">
        <v>79</v>
      </c>
      <c r="AA408" s="6" t="s">
        <v>74</v>
      </c>
      <c r="AB408" s="6" t="s">
        <v>37</v>
      </c>
      <c r="AC408" s="6" t="s">
        <v>38</v>
      </c>
      <c r="AD408" s="26" t="s">
        <v>83</v>
      </c>
      <c r="AE408" s="7">
        <v>250</v>
      </c>
      <c r="AF408" s="6">
        <v>370</v>
      </c>
      <c r="AG408" s="10">
        <v>6</v>
      </c>
      <c r="AH408" s="31" t="s">
        <v>54</v>
      </c>
    </row>
    <row r="409" ht="13.9" spans="1:34">
      <c r="A409" s="6">
        <v>2219</v>
      </c>
      <c r="B409" s="7">
        <v>0.2</v>
      </c>
      <c r="C409" s="6">
        <v>0.3</v>
      </c>
      <c r="D409" s="6">
        <v>6.3</v>
      </c>
      <c r="E409" s="6">
        <v>0.3</v>
      </c>
      <c r="F409" s="6">
        <v>0.02</v>
      </c>
      <c r="G409" s="6">
        <v>0</v>
      </c>
      <c r="H409" s="6">
        <v>0.1</v>
      </c>
      <c r="I409" s="6">
        <v>0.1</v>
      </c>
      <c r="J409" s="6">
        <v>0.06</v>
      </c>
      <c r="K409" s="6">
        <v>0.175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8">
        <f t="shared" si="17"/>
        <v>92.445</v>
      </c>
      <c r="U409" s="7">
        <v>535</v>
      </c>
      <c r="V409" s="6">
        <v>25</v>
      </c>
      <c r="W409" s="6">
        <v>0</v>
      </c>
      <c r="X409" s="6" t="s">
        <v>53</v>
      </c>
      <c r="Y409" s="6" t="s">
        <v>73</v>
      </c>
      <c r="Z409" s="6" t="s">
        <v>79</v>
      </c>
      <c r="AA409" s="6" t="s">
        <v>80</v>
      </c>
      <c r="AB409" s="6" t="s">
        <v>37</v>
      </c>
      <c r="AC409" s="6" t="s">
        <v>53</v>
      </c>
      <c r="AD409" s="26" t="s">
        <v>136</v>
      </c>
      <c r="AE409" s="7">
        <v>248</v>
      </c>
      <c r="AF409" s="6">
        <v>359</v>
      </c>
      <c r="AG409" s="10">
        <v>17</v>
      </c>
      <c r="AH409" s="31" t="s">
        <v>54</v>
      </c>
    </row>
    <row r="410" ht="13.9" spans="1:34">
      <c r="A410" s="6">
        <v>2219</v>
      </c>
      <c r="B410" s="7">
        <v>0.2</v>
      </c>
      <c r="C410" s="6">
        <v>0.3</v>
      </c>
      <c r="D410" s="6">
        <v>6.3</v>
      </c>
      <c r="E410" s="6">
        <v>0.3</v>
      </c>
      <c r="F410" s="6">
        <v>0.02</v>
      </c>
      <c r="G410" s="6">
        <v>0</v>
      </c>
      <c r="H410" s="6">
        <v>0.1</v>
      </c>
      <c r="I410" s="6">
        <v>0.1</v>
      </c>
      <c r="J410" s="6">
        <v>0.06</v>
      </c>
      <c r="K410" s="6">
        <v>0.175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8">
        <f t="shared" si="17"/>
        <v>92.445</v>
      </c>
      <c r="U410" s="7">
        <v>535</v>
      </c>
      <c r="V410" s="6">
        <v>25</v>
      </c>
      <c r="W410" s="6">
        <v>0</v>
      </c>
      <c r="X410" s="6" t="s">
        <v>53</v>
      </c>
      <c r="Y410" s="6" t="s">
        <v>73</v>
      </c>
      <c r="Z410" s="6" t="s">
        <v>84</v>
      </c>
      <c r="AA410" s="6" t="s">
        <v>80</v>
      </c>
      <c r="AB410" s="6" t="s">
        <v>37</v>
      </c>
      <c r="AC410" s="6" t="s">
        <v>53</v>
      </c>
      <c r="AD410" s="26" t="s">
        <v>111</v>
      </c>
      <c r="AE410" s="7">
        <v>248</v>
      </c>
      <c r="AF410" s="6">
        <v>359</v>
      </c>
      <c r="AG410" s="10">
        <v>17</v>
      </c>
      <c r="AH410" s="31" t="s">
        <v>54</v>
      </c>
    </row>
    <row r="411" ht="13.9" spans="1:34">
      <c r="A411" s="6">
        <v>2219</v>
      </c>
      <c r="B411" s="7">
        <v>0.2</v>
      </c>
      <c r="C411" s="6">
        <v>0.3</v>
      </c>
      <c r="D411" s="6">
        <v>6.3</v>
      </c>
      <c r="E411" s="6">
        <v>0.3</v>
      </c>
      <c r="F411" s="6">
        <v>0.02</v>
      </c>
      <c r="G411" s="6">
        <v>0</v>
      </c>
      <c r="H411" s="6">
        <v>0.1</v>
      </c>
      <c r="I411" s="6">
        <v>0.1</v>
      </c>
      <c r="J411" s="6">
        <v>0.06</v>
      </c>
      <c r="K411" s="6">
        <v>0.175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8">
        <f t="shared" si="17"/>
        <v>92.445</v>
      </c>
      <c r="U411" s="7">
        <v>535</v>
      </c>
      <c r="V411" s="6">
        <v>25</v>
      </c>
      <c r="W411" s="6">
        <v>0</v>
      </c>
      <c r="X411" s="6" t="s">
        <v>53</v>
      </c>
      <c r="Y411" s="6" t="s">
        <v>73</v>
      </c>
      <c r="Z411" s="6" t="s">
        <v>37</v>
      </c>
      <c r="AA411" s="6" t="s">
        <v>80</v>
      </c>
      <c r="AB411" s="6" t="s">
        <v>37</v>
      </c>
      <c r="AC411" s="6" t="s">
        <v>53</v>
      </c>
      <c r="AD411" s="26" t="s">
        <v>86</v>
      </c>
      <c r="AE411" s="7">
        <v>186</v>
      </c>
      <c r="AF411" s="6">
        <v>359</v>
      </c>
      <c r="AG411" s="10">
        <v>20</v>
      </c>
      <c r="AH411" s="31" t="s">
        <v>54</v>
      </c>
    </row>
    <row r="412" ht="13.9" spans="1:34">
      <c r="A412" s="6">
        <v>2219</v>
      </c>
      <c r="B412" s="7">
        <v>0.2</v>
      </c>
      <c r="C412" s="6">
        <v>0.3</v>
      </c>
      <c r="D412" s="6">
        <v>6.3</v>
      </c>
      <c r="E412" s="6">
        <v>0.3</v>
      </c>
      <c r="F412" s="6">
        <v>0.02</v>
      </c>
      <c r="G412" s="6">
        <v>0</v>
      </c>
      <c r="H412" s="6">
        <v>0.1</v>
      </c>
      <c r="I412" s="6">
        <v>0.1</v>
      </c>
      <c r="J412" s="6">
        <v>0.06</v>
      </c>
      <c r="K412" s="6">
        <v>0.175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8">
        <f t="shared" si="17"/>
        <v>92.445</v>
      </c>
      <c r="U412" s="7">
        <v>535</v>
      </c>
      <c r="V412" s="6">
        <v>25</v>
      </c>
      <c r="W412" s="6">
        <v>0</v>
      </c>
      <c r="X412" s="6" t="s">
        <v>42</v>
      </c>
      <c r="Y412" s="6" t="s">
        <v>73</v>
      </c>
      <c r="Z412" s="6" t="s">
        <v>132</v>
      </c>
      <c r="AA412" s="6" t="s">
        <v>80</v>
      </c>
      <c r="AB412" s="6" t="s">
        <v>37</v>
      </c>
      <c r="AC412" s="6" t="s">
        <v>43</v>
      </c>
      <c r="AD412" s="26" t="s">
        <v>135</v>
      </c>
      <c r="AE412" s="7">
        <v>258</v>
      </c>
      <c r="AF412" s="6">
        <v>340</v>
      </c>
      <c r="AG412" s="34">
        <v>6</v>
      </c>
      <c r="AH412" s="31" t="s">
        <v>54</v>
      </c>
    </row>
    <row r="413" ht="13.9" spans="1:34">
      <c r="A413" s="6">
        <v>2219</v>
      </c>
      <c r="B413" s="7">
        <v>0.2</v>
      </c>
      <c r="C413" s="6">
        <v>0.3</v>
      </c>
      <c r="D413" s="6">
        <v>6.3</v>
      </c>
      <c r="E413" s="6">
        <v>0.3</v>
      </c>
      <c r="F413" s="6">
        <v>0.02</v>
      </c>
      <c r="G413" s="6">
        <v>0</v>
      </c>
      <c r="H413" s="6">
        <v>0.1</v>
      </c>
      <c r="I413" s="6">
        <v>0.1</v>
      </c>
      <c r="J413" s="6">
        <v>0.06</v>
      </c>
      <c r="K413" s="6">
        <v>0.175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8">
        <f t="shared" si="17"/>
        <v>92.445</v>
      </c>
      <c r="U413" s="7">
        <v>535</v>
      </c>
      <c r="V413" s="6">
        <v>25</v>
      </c>
      <c r="W413" s="6">
        <v>0</v>
      </c>
      <c r="X413" s="6" t="s">
        <v>42</v>
      </c>
      <c r="Y413" s="6" t="s">
        <v>73</v>
      </c>
      <c r="Z413" s="6" t="s">
        <v>132</v>
      </c>
      <c r="AA413" s="6" t="s">
        <v>80</v>
      </c>
      <c r="AB413" s="6" t="s">
        <v>37</v>
      </c>
      <c r="AC413" s="6" t="s">
        <v>59</v>
      </c>
      <c r="AD413" s="26" t="s">
        <v>135</v>
      </c>
      <c r="AE413" s="7">
        <v>245</v>
      </c>
      <c r="AF413" s="6">
        <v>318</v>
      </c>
      <c r="AG413" s="10">
        <v>5.3</v>
      </c>
      <c r="AH413" s="31" t="s">
        <v>54</v>
      </c>
    </row>
    <row r="414" ht="13.9" spans="1:34">
      <c r="A414" s="6">
        <v>2219</v>
      </c>
      <c r="B414" s="7">
        <v>0.2</v>
      </c>
      <c r="C414" s="6">
        <v>0.3</v>
      </c>
      <c r="D414" s="6">
        <v>6.3</v>
      </c>
      <c r="E414" s="6">
        <v>0.3</v>
      </c>
      <c r="F414" s="6">
        <v>0.02</v>
      </c>
      <c r="G414" s="6">
        <v>0</v>
      </c>
      <c r="H414" s="6">
        <v>0.1</v>
      </c>
      <c r="I414" s="6">
        <v>0.1</v>
      </c>
      <c r="J414" s="6">
        <v>0.06</v>
      </c>
      <c r="K414" s="6">
        <v>0.175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8">
        <f t="shared" si="17"/>
        <v>92.445</v>
      </c>
      <c r="U414" s="7">
        <v>535</v>
      </c>
      <c r="V414" s="6">
        <v>25</v>
      </c>
      <c r="W414" s="6">
        <v>0</v>
      </c>
      <c r="X414" s="6" t="s">
        <v>42</v>
      </c>
      <c r="Y414" s="6" t="s">
        <v>73</v>
      </c>
      <c r="Z414" s="6" t="s">
        <v>79</v>
      </c>
      <c r="AA414" s="6" t="s">
        <v>80</v>
      </c>
      <c r="AB414" s="6" t="s">
        <v>37</v>
      </c>
      <c r="AC414" s="6" t="s">
        <v>43</v>
      </c>
      <c r="AD414" s="8" t="s">
        <v>136</v>
      </c>
      <c r="AE414" s="7">
        <v>198</v>
      </c>
      <c r="AF414" s="6">
        <v>315</v>
      </c>
      <c r="AG414" s="10">
        <v>9</v>
      </c>
      <c r="AH414" s="31" t="s">
        <v>54</v>
      </c>
    </row>
    <row r="415" ht="13.9" spans="1:34">
      <c r="A415" s="6">
        <v>2219</v>
      </c>
      <c r="B415" s="7">
        <v>0.2</v>
      </c>
      <c r="C415" s="6">
        <v>0.3</v>
      </c>
      <c r="D415" s="6">
        <v>6.3</v>
      </c>
      <c r="E415" s="6">
        <v>0.3</v>
      </c>
      <c r="F415" s="6">
        <v>0.02</v>
      </c>
      <c r="G415" s="6">
        <v>0</v>
      </c>
      <c r="H415" s="6">
        <v>0.1</v>
      </c>
      <c r="I415" s="6">
        <v>0.1</v>
      </c>
      <c r="J415" s="6">
        <v>0.06</v>
      </c>
      <c r="K415" s="6">
        <v>0.175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8">
        <f t="shared" si="17"/>
        <v>92.445</v>
      </c>
      <c r="U415" s="7">
        <v>535</v>
      </c>
      <c r="V415" s="6">
        <v>25</v>
      </c>
      <c r="W415" s="6">
        <v>0</v>
      </c>
      <c r="X415" s="6" t="s">
        <v>44</v>
      </c>
      <c r="Y415" s="6" t="s">
        <v>73</v>
      </c>
      <c r="Z415" s="6" t="s">
        <v>79</v>
      </c>
      <c r="AA415" s="6" t="s">
        <v>80</v>
      </c>
      <c r="AB415" s="6" t="s">
        <v>37</v>
      </c>
      <c r="AC415" s="6" t="s">
        <v>51</v>
      </c>
      <c r="AD415" s="26" t="s">
        <v>136</v>
      </c>
      <c r="AE415" s="7">
        <v>183</v>
      </c>
      <c r="AF415" s="6">
        <v>300</v>
      </c>
      <c r="AG415" s="10">
        <v>14</v>
      </c>
      <c r="AH415" s="31" t="s">
        <v>54</v>
      </c>
    </row>
    <row r="416" ht="13.9" spans="1:34">
      <c r="A416" s="6">
        <v>2219</v>
      </c>
      <c r="B416" s="7">
        <v>0.2</v>
      </c>
      <c r="C416" s="6">
        <v>0.3</v>
      </c>
      <c r="D416" s="6">
        <v>6.3</v>
      </c>
      <c r="E416" s="6">
        <v>0.3</v>
      </c>
      <c r="F416" s="6">
        <v>0.02</v>
      </c>
      <c r="G416" s="6">
        <v>0</v>
      </c>
      <c r="H416" s="6">
        <v>0.1</v>
      </c>
      <c r="I416" s="6">
        <v>0.1</v>
      </c>
      <c r="J416" s="6">
        <v>0.06</v>
      </c>
      <c r="K416" s="6">
        <v>0.175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8">
        <f t="shared" si="17"/>
        <v>92.445</v>
      </c>
      <c r="U416" s="7">
        <v>535</v>
      </c>
      <c r="V416" s="6">
        <v>25</v>
      </c>
      <c r="W416" s="6">
        <v>0</v>
      </c>
      <c r="X416" s="6" t="s">
        <v>44</v>
      </c>
      <c r="Y416" s="6" t="s">
        <v>73</v>
      </c>
      <c r="Z416" s="6" t="s">
        <v>84</v>
      </c>
      <c r="AA416" s="6" t="s">
        <v>80</v>
      </c>
      <c r="AB416" s="6" t="s">
        <v>37</v>
      </c>
      <c r="AC416" s="6" t="s">
        <v>51</v>
      </c>
      <c r="AD416" s="26" t="s">
        <v>111</v>
      </c>
      <c r="AE416" s="7">
        <v>183</v>
      </c>
      <c r="AF416" s="6">
        <v>300</v>
      </c>
      <c r="AG416" s="10">
        <v>14</v>
      </c>
      <c r="AH416" s="31" t="s">
        <v>54</v>
      </c>
    </row>
    <row r="417" ht="13.9" spans="1:34">
      <c r="A417" s="6">
        <v>2219</v>
      </c>
      <c r="B417" s="7">
        <v>0.2</v>
      </c>
      <c r="C417" s="6">
        <v>0.3</v>
      </c>
      <c r="D417" s="6">
        <v>6.3</v>
      </c>
      <c r="E417" s="6">
        <v>0.3</v>
      </c>
      <c r="F417" s="6">
        <v>0.02</v>
      </c>
      <c r="G417" s="6">
        <v>0</v>
      </c>
      <c r="H417" s="6">
        <v>0.1</v>
      </c>
      <c r="I417" s="6">
        <v>0.1</v>
      </c>
      <c r="J417" s="6">
        <v>0.06</v>
      </c>
      <c r="K417" s="6">
        <v>0.175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8">
        <f t="shared" si="17"/>
        <v>92.445</v>
      </c>
      <c r="U417" s="7">
        <v>535</v>
      </c>
      <c r="V417" s="6">
        <v>25</v>
      </c>
      <c r="W417" s="6">
        <v>0</v>
      </c>
      <c r="X417" s="6" t="s">
        <v>44</v>
      </c>
      <c r="Y417" s="6" t="s">
        <v>73</v>
      </c>
      <c r="Z417" s="6" t="s">
        <v>79</v>
      </c>
      <c r="AA417" s="6" t="s">
        <v>80</v>
      </c>
      <c r="AB417" s="6" t="s">
        <v>37</v>
      </c>
      <c r="AC417" s="6" t="s">
        <v>69</v>
      </c>
      <c r="AD417" s="8" t="s">
        <v>136</v>
      </c>
      <c r="AE417" s="7">
        <v>183</v>
      </c>
      <c r="AF417" s="6">
        <v>300</v>
      </c>
      <c r="AG417" s="10">
        <v>14</v>
      </c>
      <c r="AH417" s="31" t="s">
        <v>54</v>
      </c>
    </row>
    <row r="418" ht="13.9" spans="1:34">
      <c r="A418" s="6">
        <v>2219</v>
      </c>
      <c r="B418" s="7">
        <v>0.2</v>
      </c>
      <c r="C418" s="6">
        <v>0.3</v>
      </c>
      <c r="D418" s="6">
        <v>6.3</v>
      </c>
      <c r="E418" s="6">
        <v>0.3</v>
      </c>
      <c r="F418" s="6">
        <v>0.02</v>
      </c>
      <c r="G418" s="6">
        <v>0</v>
      </c>
      <c r="H418" s="6">
        <v>0.1</v>
      </c>
      <c r="I418" s="6">
        <v>0.1</v>
      </c>
      <c r="J418" s="6">
        <v>0.06</v>
      </c>
      <c r="K418" s="6">
        <v>0.175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8">
        <f t="shared" si="17"/>
        <v>92.445</v>
      </c>
      <c r="U418" s="7">
        <v>535</v>
      </c>
      <c r="V418" s="6">
        <v>25</v>
      </c>
      <c r="W418" s="6">
        <v>0</v>
      </c>
      <c r="X418" s="6" t="s">
        <v>44</v>
      </c>
      <c r="Y418" s="6" t="s">
        <v>73</v>
      </c>
      <c r="Z418" s="6" t="s">
        <v>84</v>
      </c>
      <c r="AA418" s="6" t="s">
        <v>80</v>
      </c>
      <c r="AB418" s="6" t="s">
        <v>37</v>
      </c>
      <c r="AC418" s="6" t="s">
        <v>69</v>
      </c>
      <c r="AD418" s="26" t="s">
        <v>111</v>
      </c>
      <c r="AE418" s="7">
        <v>183</v>
      </c>
      <c r="AF418" s="6">
        <v>300</v>
      </c>
      <c r="AG418" s="10">
        <v>14</v>
      </c>
      <c r="AH418" s="31" t="s">
        <v>54</v>
      </c>
    </row>
    <row r="419" ht="13.9" spans="1:34">
      <c r="A419" s="6">
        <v>2219</v>
      </c>
      <c r="B419" s="7">
        <v>0.2</v>
      </c>
      <c r="C419" s="6">
        <v>0.3</v>
      </c>
      <c r="D419" s="6">
        <v>6.3</v>
      </c>
      <c r="E419" s="6">
        <v>0.3</v>
      </c>
      <c r="F419" s="6">
        <v>0.02</v>
      </c>
      <c r="G419" s="6">
        <v>0</v>
      </c>
      <c r="H419" s="6">
        <v>0.1</v>
      </c>
      <c r="I419" s="6">
        <v>0.1</v>
      </c>
      <c r="J419" s="6">
        <v>0.06</v>
      </c>
      <c r="K419" s="6">
        <v>0.175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8">
        <f t="shared" si="17"/>
        <v>92.445</v>
      </c>
      <c r="U419" s="7">
        <v>535</v>
      </c>
      <c r="V419" s="6">
        <v>25</v>
      </c>
      <c r="W419" s="6">
        <v>0</v>
      </c>
      <c r="X419" s="6" t="s">
        <v>44</v>
      </c>
      <c r="Y419" s="6" t="s">
        <v>73</v>
      </c>
      <c r="Z419" s="6" t="s">
        <v>79</v>
      </c>
      <c r="AA419" s="6" t="s">
        <v>80</v>
      </c>
      <c r="AB419" s="6" t="s">
        <v>37</v>
      </c>
      <c r="AC419" s="6" t="s">
        <v>45</v>
      </c>
      <c r="AD419" s="8" t="s">
        <v>136</v>
      </c>
      <c r="AE419" s="7">
        <v>183</v>
      </c>
      <c r="AF419" s="6">
        <v>300</v>
      </c>
      <c r="AG419" s="34">
        <v>14</v>
      </c>
      <c r="AH419" s="31" t="s">
        <v>54</v>
      </c>
    </row>
    <row r="420" ht="13.9" spans="1:34">
      <c r="A420" s="6">
        <v>2219</v>
      </c>
      <c r="B420" s="7">
        <v>0.2</v>
      </c>
      <c r="C420" s="6">
        <v>0.3</v>
      </c>
      <c r="D420" s="6">
        <v>6.3</v>
      </c>
      <c r="E420" s="6">
        <v>0.3</v>
      </c>
      <c r="F420" s="6">
        <v>0.02</v>
      </c>
      <c r="G420" s="6">
        <v>0</v>
      </c>
      <c r="H420" s="6">
        <v>0.1</v>
      </c>
      <c r="I420" s="6">
        <v>0.1</v>
      </c>
      <c r="J420" s="6">
        <v>0.06</v>
      </c>
      <c r="K420" s="6">
        <v>0.175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8">
        <f t="shared" si="17"/>
        <v>92.445</v>
      </c>
      <c r="U420" s="7">
        <v>535</v>
      </c>
      <c r="V420" s="6">
        <v>25</v>
      </c>
      <c r="W420" s="6">
        <v>0</v>
      </c>
      <c r="X420" s="6" t="s">
        <v>44</v>
      </c>
      <c r="Y420" s="6" t="s">
        <v>73</v>
      </c>
      <c r="Z420" s="6" t="s">
        <v>84</v>
      </c>
      <c r="AA420" s="6" t="s">
        <v>80</v>
      </c>
      <c r="AB420" s="6" t="s">
        <v>37</v>
      </c>
      <c r="AC420" s="6" t="s">
        <v>45</v>
      </c>
      <c r="AD420" s="26" t="s">
        <v>111</v>
      </c>
      <c r="AE420" s="7">
        <v>183</v>
      </c>
      <c r="AF420" s="6">
        <v>300</v>
      </c>
      <c r="AG420" s="34">
        <v>14</v>
      </c>
      <c r="AH420" s="31" t="s">
        <v>54</v>
      </c>
    </row>
    <row r="421" ht="13.9" spans="1:34">
      <c r="A421" s="6">
        <v>2219</v>
      </c>
      <c r="B421" s="7">
        <v>0.2</v>
      </c>
      <c r="C421" s="6">
        <v>0.3</v>
      </c>
      <c r="D421" s="6">
        <v>6.3</v>
      </c>
      <c r="E421" s="6">
        <v>0.3</v>
      </c>
      <c r="F421" s="6">
        <v>0.02</v>
      </c>
      <c r="G421" s="6">
        <v>0</v>
      </c>
      <c r="H421" s="6">
        <v>0.1</v>
      </c>
      <c r="I421" s="6">
        <v>0.1</v>
      </c>
      <c r="J421" s="6">
        <v>0.06</v>
      </c>
      <c r="K421" s="6">
        <v>0.175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8">
        <f t="shared" si="17"/>
        <v>92.445</v>
      </c>
      <c r="U421" s="7">
        <v>535</v>
      </c>
      <c r="V421" s="6">
        <v>25</v>
      </c>
      <c r="W421" s="6">
        <v>0</v>
      </c>
      <c r="X421" s="6" t="s">
        <v>44</v>
      </c>
      <c r="Y421" s="6" t="s">
        <v>73</v>
      </c>
      <c r="Z421" s="6" t="s">
        <v>79</v>
      </c>
      <c r="AA421" s="6" t="s">
        <v>80</v>
      </c>
      <c r="AB421" s="6" t="s">
        <v>37</v>
      </c>
      <c r="AC421" s="6" t="s">
        <v>38</v>
      </c>
      <c r="AD421" s="8" t="s">
        <v>136</v>
      </c>
      <c r="AE421" s="7">
        <v>183</v>
      </c>
      <c r="AF421" s="6">
        <v>300</v>
      </c>
      <c r="AG421" s="34">
        <v>14</v>
      </c>
      <c r="AH421" s="31" t="s">
        <v>54</v>
      </c>
    </row>
    <row r="422" ht="13.9" spans="1:34">
      <c r="A422" s="6">
        <v>2219</v>
      </c>
      <c r="B422" s="7">
        <v>0.2</v>
      </c>
      <c r="C422" s="6">
        <v>0.3</v>
      </c>
      <c r="D422" s="6">
        <v>6.3</v>
      </c>
      <c r="E422" s="6">
        <v>0.3</v>
      </c>
      <c r="F422" s="6">
        <v>0.02</v>
      </c>
      <c r="G422" s="6">
        <v>0</v>
      </c>
      <c r="H422" s="6">
        <v>0.1</v>
      </c>
      <c r="I422" s="6">
        <v>0.1</v>
      </c>
      <c r="J422" s="6">
        <v>0.06</v>
      </c>
      <c r="K422" s="6">
        <v>0.175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8">
        <f t="shared" si="17"/>
        <v>92.445</v>
      </c>
      <c r="U422" s="7">
        <v>535</v>
      </c>
      <c r="V422" s="6">
        <v>25</v>
      </c>
      <c r="W422" s="6">
        <v>0</v>
      </c>
      <c r="X422" s="6" t="s">
        <v>44</v>
      </c>
      <c r="Y422" s="6" t="s">
        <v>73</v>
      </c>
      <c r="Z422" s="6" t="s">
        <v>84</v>
      </c>
      <c r="AA422" s="6" t="s">
        <v>80</v>
      </c>
      <c r="AB422" s="6" t="s">
        <v>37</v>
      </c>
      <c r="AC422" s="6" t="s">
        <v>38</v>
      </c>
      <c r="AD422" s="26" t="s">
        <v>111</v>
      </c>
      <c r="AE422" s="7">
        <v>183</v>
      </c>
      <c r="AF422" s="6">
        <v>300</v>
      </c>
      <c r="AG422" s="34">
        <v>14</v>
      </c>
      <c r="AH422" s="31" t="s">
        <v>54</v>
      </c>
    </row>
    <row r="423" ht="13.9" spans="1:34">
      <c r="A423" s="6">
        <v>2219</v>
      </c>
      <c r="B423" s="7">
        <v>0.2</v>
      </c>
      <c r="C423" s="6">
        <v>0.3</v>
      </c>
      <c r="D423" s="6">
        <v>6.3</v>
      </c>
      <c r="E423" s="6">
        <v>0.3</v>
      </c>
      <c r="F423" s="6">
        <v>0.02</v>
      </c>
      <c r="G423" s="6">
        <v>0</v>
      </c>
      <c r="H423" s="6">
        <v>0.1</v>
      </c>
      <c r="I423" s="6">
        <v>0.1</v>
      </c>
      <c r="J423" s="6">
        <v>0.06</v>
      </c>
      <c r="K423" s="6">
        <v>0.175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8">
        <f t="shared" si="17"/>
        <v>92.445</v>
      </c>
      <c r="U423" s="7">
        <v>535</v>
      </c>
      <c r="V423" s="6">
        <v>25</v>
      </c>
      <c r="W423" s="6">
        <v>0</v>
      </c>
      <c r="X423" s="6" t="s">
        <v>42</v>
      </c>
      <c r="Y423" s="6" t="s">
        <v>73</v>
      </c>
      <c r="Z423" s="6" t="s">
        <v>84</v>
      </c>
      <c r="AA423" s="6" t="s">
        <v>80</v>
      </c>
      <c r="AB423" s="6" t="s">
        <v>37</v>
      </c>
      <c r="AC423" s="6" t="s">
        <v>59</v>
      </c>
      <c r="AD423" s="8" t="s">
        <v>111</v>
      </c>
      <c r="AE423" s="7">
        <v>185</v>
      </c>
      <c r="AF423" s="6">
        <v>291</v>
      </c>
      <c r="AG423" s="10">
        <v>9.2</v>
      </c>
      <c r="AH423" s="31" t="s">
        <v>54</v>
      </c>
    </row>
    <row r="424" ht="13.9" spans="1:34">
      <c r="A424" s="6">
        <v>2219</v>
      </c>
      <c r="B424" s="7">
        <v>0.2</v>
      </c>
      <c r="C424" s="6">
        <v>0.3</v>
      </c>
      <c r="D424" s="6">
        <v>6.3</v>
      </c>
      <c r="E424" s="6">
        <v>0.3</v>
      </c>
      <c r="F424" s="6">
        <v>0.02</v>
      </c>
      <c r="G424" s="6">
        <v>0</v>
      </c>
      <c r="H424" s="6">
        <v>0.1</v>
      </c>
      <c r="I424" s="6">
        <v>0.1</v>
      </c>
      <c r="J424" s="6">
        <v>0.06</v>
      </c>
      <c r="K424" s="6">
        <v>0.175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8">
        <f t="shared" si="17"/>
        <v>92.445</v>
      </c>
      <c r="U424" s="7">
        <v>415</v>
      </c>
      <c r="V424" s="6">
        <v>25</v>
      </c>
      <c r="W424" s="6">
        <v>0</v>
      </c>
      <c r="X424" s="6" t="s">
        <v>44</v>
      </c>
      <c r="Y424" s="6" t="s">
        <v>50</v>
      </c>
      <c r="Z424" s="6" t="s">
        <v>37</v>
      </c>
      <c r="AA424" s="6" t="s">
        <v>37</v>
      </c>
      <c r="AB424" s="6" t="s">
        <v>37</v>
      </c>
      <c r="AC424" s="6" t="s">
        <v>51</v>
      </c>
      <c r="AD424" s="26" t="s">
        <v>57</v>
      </c>
      <c r="AE424" s="7">
        <v>125</v>
      </c>
      <c r="AF424" s="6">
        <v>221</v>
      </c>
      <c r="AG424" s="10">
        <v>12</v>
      </c>
      <c r="AH424" s="31" t="s">
        <v>54</v>
      </c>
    </row>
    <row r="425" ht="13.9" spans="1:34">
      <c r="A425" s="6">
        <v>2219</v>
      </c>
      <c r="B425" s="7">
        <v>0.2</v>
      </c>
      <c r="C425" s="6">
        <v>0.3</v>
      </c>
      <c r="D425" s="6">
        <v>6.3</v>
      </c>
      <c r="E425" s="6">
        <v>0.3</v>
      </c>
      <c r="F425" s="6">
        <v>0.02</v>
      </c>
      <c r="G425" s="6">
        <v>0</v>
      </c>
      <c r="H425" s="6">
        <v>0.1</v>
      </c>
      <c r="I425" s="6">
        <v>0.1</v>
      </c>
      <c r="J425" s="6">
        <v>0.06</v>
      </c>
      <c r="K425" s="6">
        <v>0.175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8">
        <f t="shared" si="17"/>
        <v>92.445</v>
      </c>
      <c r="U425" s="7">
        <v>415</v>
      </c>
      <c r="V425" s="6">
        <v>25</v>
      </c>
      <c r="W425" s="6">
        <v>0</v>
      </c>
      <c r="X425" s="6" t="s">
        <v>44</v>
      </c>
      <c r="Y425" s="6" t="s">
        <v>50</v>
      </c>
      <c r="Z425" s="6" t="s">
        <v>37</v>
      </c>
      <c r="AA425" s="6" t="s">
        <v>37</v>
      </c>
      <c r="AB425" s="6" t="s">
        <v>37</v>
      </c>
      <c r="AC425" s="6" t="s">
        <v>69</v>
      </c>
      <c r="AD425" s="26" t="s">
        <v>57</v>
      </c>
      <c r="AE425" s="7">
        <v>125</v>
      </c>
      <c r="AF425" s="6">
        <v>221</v>
      </c>
      <c r="AG425" s="10">
        <v>12</v>
      </c>
      <c r="AH425" s="31" t="s">
        <v>54</v>
      </c>
    </row>
    <row r="426" ht="13.9" spans="1:34">
      <c r="A426" s="6">
        <v>2219</v>
      </c>
      <c r="B426" s="7">
        <v>0.2</v>
      </c>
      <c r="C426" s="6">
        <v>0.3</v>
      </c>
      <c r="D426" s="6">
        <v>6.3</v>
      </c>
      <c r="E426" s="6">
        <v>0.3</v>
      </c>
      <c r="F426" s="6">
        <v>0.02</v>
      </c>
      <c r="G426" s="6">
        <v>0</v>
      </c>
      <c r="H426" s="6">
        <v>0.1</v>
      </c>
      <c r="I426" s="6">
        <v>0.1</v>
      </c>
      <c r="J426" s="6">
        <v>0.06</v>
      </c>
      <c r="K426" s="6">
        <v>0.175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8">
        <f t="shared" si="17"/>
        <v>92.445</v>
      </c>
      <c r="U426" s="7">
        <v>415</v>
      </c>
      <c r="V426" s="6">
        <v>25</v>
      </c>
      <c r="W426" s="6">
        <v>0</v>
      </c>
      <c r="X426" s="6" t="s">
        <v>44</v>
      </c>
      <c r="Y426" s="6" t="s">
        <v>50</v>
      </c>
      <c r="Z426" s="6" t="s">
        <v>37</v>
      </c>
      <c r="AA426" s="6" t="s">
        <v>37</v>
      </c>
      <c r="AB426" s="6" t="s">
        <v>37</v>
      </c>
      <c r="AC426" s="6" t="s">
        <v>45</v>
      </c>
      <c r="AD426" s="26" t="s">
        <v>57</v>
      </c>
      <c r="AE426" s="7">
        <v>125</v>
      </c>
      <c r="AF426" s="6">
        <v>221</v>
      </c>
      <c r="AG426" s="10">
        <v>12</v>
      </c>
      <c r="AH426" s="31" t="s">
        <v>54</v>
      </c>
    </row>
    <row r="427" ht="13.9" spans="1:34">
      <c r="A427" s="6">
        <v>2219</v>
      </c>
      <c r="B427" s="7">
        <v>0.2</v>
      </c>
      <c r="C427" s="6">
        <v>0.3</v>
      </c>
      <c r="D427" s="6">
        <v>6.3</v>
      </c>
      <c r="E427" s="6">
        <v>0.3</v>
      </c>
      <c r="F427" s="6">
        <v>0.02</v>
      </c>
      <c r="G427" s="6">
        <v>0</v>
      </c>
      <c r="H427" s="6">
        <v>0.1</v>
      </c>
      <c r="I427" s="6">
        <v>0.1</v>
      </c>
      <c r="J427" s="6">
        <v>0.06</v>
      </c>
      <c r="K427" s="6">
        <v>0.175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8">
        <f t="shared" si="17"/>
        <v>92.445</v>
      </c>
      <c r="U427" s="7">
        <v>415</v>
      </c>
      <c r="V427" s="6">
        <v>25</v>
      </c>
      <c r="W427" s="6">
        <v>0</v>
      </c>
      <c r="X427" s="6" t="s">
        <v>44</v>
      </c>
      <c r="Y427" s="6" t="s">
        <v>50</v>
      </c>
      <c r="Z427" s="6" t="s">
        <v>37</v>
      </c>
      <c r="AA427" s="6" t="s">
        <v>37</v>
      </c>
      <c r="AB427" s="6" t="s">
        <v>37</v>
      </c>
      <c r="AC427" s="6" t="s">
        <v>38</v>
      </c>
      <c r="AD427" s="26" t="s">
        <v>57</v>
      </c>
      <c r="AE427" s="7">
        <v>125</v>
      </c>
      <c r="AF427" s="6">
        <v>221</v>
      </c>
      <c r="AG427" s="10">
        <v>12</v>
      </c>
      <c r="AH427" s="31" t="s">
        <v>54</v>
      </c>
    </row>
    <row r="428" ht="13.9" spans="1:34">
      <c r="A428" s="6">
        <v>2219</v>
      </c>
      <c r="B428" s="7">
        <v>0.2</v>
      </c>
      <c r="C428" s="6">
        <v>0.3</v>
      </c>
      <c r="D428" s="6">
        <v>6.3</v>
      </c>
      <c r="E428" s="6">
        <v>0.3</v>
      </c>
      <c r="F428" s="6">
        <v>0.02</v>
      </c>
      <c r="G428" s="6">
        <v>0</v>
      </c>
      <c r="H428" s="6">
        <v>0.1</v>
      </c>
      <c r="I428" s="6">
        <v>0.1</v>
      </c>
      <c r="J428" s="6">
        <v>0.06</v>
      </c>
      <c r="K428" s="6">
        <v>0.175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8">
        <f t="shared" si="17"/>
        <v>92.445</v>
      </c>
      <c r="U428" s="7">
        <v>415</v>
      </c>
      <c r="V428" s="6">
        <v>25</v>
      </c>
      <c r="W428" s="6">
        <v>0</v>
      </c>
      <c r="X428" s="6" t="s">
        <v>42</v>
      </c>
      <c r="Y428" s="6" t="s">
        <v>50</v>
      </c>
      <c r="Z428" s="6" t="s">
        <v>37</v>
      </c>
      <c r="AA428" s="6" t="s">
        <v>37</v>
      </c>
      <c r="AB428" s="6" t="s">
        <v>37</v>
      </c>
      <c r="AC428" s="6" t="s">
        <v>59</v>
      </c>
      <c r="AD428" s="26" t="s">
        <v>57</v>
      </c>
      <c r="AE428" s="7">
        <v>110</v>
      </c>
      <c r="AF428" s="6">
        <v>220</v>
      </c>
      <c r="AG428" s="10">
        <v>12</v>
      </c>
      <c r="AH428" s="31" t="s">
        <v>54</v>
      </c>
    </row>
    <row r="429" ht="13.9" spans="1:34">
      <c r="A429" s="6">
        <v>2219</v>
      </c>
      <c r="B429" s="7">
        <v>0.2</v>
      </c>
      <c r="C429" s="6">
        <v>0.3</v>
      </c>
      <c r="D429" s="6">
        <v>6.3</v>
      </c>
      <c r="E429" s="6">
        <v>0.3</v>
      </c>
      <c r="F429" s="6">
        <v>0.02</v>
      </c>
      <c r="G429" s="6">
        <v>0</v>
      </c>
      <c r="H429" s="6">
        <v>0.1</v>
      </c>
      <c r="I429" s="6">
        <v>0.1</v>
      </c>
      <c r="J429" s="6">
        <v>0.06</v>
      </c>
      <c r="K429" s="6">
        <v>0.175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8">
        <f t="shared" si="17"/>
        <v>92.445</v>
      </c>
      <c r="U429" s="7">
        <v>415</v>
      </c>
      <c r="V429" s="6">
        <v>25</v>
      </c>
      <c r="W429" s="6">
        <v>0</v>
      </c>
      <c r="X429" s="6" t="s">
        <v>42</v>
      </c>
      <c r="Y429" s="6" t="s">
        <v>50</v>
      </c>
      <c r="Z429" s="6" t="s">
        <v>37</v>
      </c>
      <c r="AA429" s="6" t="s">
        <v>37</v>
      </c>
      <c r="AB429" s="6" t="s">
        <v>37</v>
      </c>
      <c r="AC429" s="6" t="s">
        <v>43</v>
      </c>
      <c r="AD429" s="26" t="s">
        <v>57</v>
      </c>
      <c r="AE429" s="7">
        <v>110</v>
      </c>
      <c r="AF429" s="6">
        <v>220</v>
      </c>
      <c r="AG429" s="10">
        <v>12</v>
      </c>
      <c r="AH429" s="31" t="s">
        <v>54</v>
      </c>
    </row>
    <row r="430" ht="13.9" spans="1:34">
      <c r="A430" s="6">
        <v>2219</v>
      </c>
      <c r="B430" s="7">
        <v>0.2</v>
      </c>
      <c r="C430" s="6">
        <v>0.3</v>
      </c>
      <c r="D430" s="6">
        <v>6.3</v>
      </c>
      <c r="E430" s="6">
        <v>0.3</v>
      </c>
      <c r="F430" s="6">
        <v>0.02</v>
      </c>
      <c r="G430" s="6">
        <v>0</v>
      </c>
      <c r="H430" s="6">
        <v>0.1</v>
      </c>
      <c r="I430" s="6">
        <v>0.1</v>
      </c>
      <c r="J430" s="6">
        <v>0.06</v>
      </c>
      <c r="K430" s="6">
        <v>0.175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8">
        <f t="shared" si="17"/>
        <v>92.445</v>
      </c>
      <c r="U430" s="7">
        <v>415</v>
      </c>
      <c r="V430" s="6">
        <v>25</v>
      </c>
      <c r="W430" s="6">
        <v>0</v>
      </c>
      <c r="X430" s="6" t="s">
        <v>53</v>
      </c>
      <c r="Y430" s="6" t="s">
        <v>50</v>
      </c>
      <c r="Z430" s="6" t="s">
        <v>37</v>
      </c>
      <c r="AA430" s="6" t="s">
        <v>37</v>
      </c>
      <c r="AB430" s="6" t="s">
        <v>37</v>
      </c>
      <c r="AC430" s="6" t="s">
        <v>53</v>
      </c>
      <c r="AD430" s="26" t="s">
        <v>57</v>
      </c>
      <c r="AE430" s="7">
        <v>76</v>
      </c>
      <c r="AF430" s="6">
        <v>172</v>
      </c>
      <c r="AG430" s="10">
        <v>18</v>
      </c>
      <c r="AH430" s="31" t="s">
        <v>54</v>
      </c>
    </row>
    <row r="431" s="3" customFormat="1" ht="13.9" spans="1:34">
      <c r="A431" s="3">
        <v>2219</v>
      </c>
      <c r="B431" s="16">
        <v>0.08</v>
      </c>
      <c r="C431" s="3">
        <v>0.19</v>
      </c>
      <c r="D431" s="3">
        <v>5.95</v>
      </c>
      <c r="E431" s="3">
        <v>0.317</v>
      </c>
      <c r="F431" s="3">
        <v>0.04</v>
      </c>
      <c r="G431" s="3">
        <v>0</v>
      </c>
      <c r="H431" s="3">
        <v>0.03</v>
      </c>
      <c r="I431" s="3">
        <v>0</v>
      </c>
      <c r="J431" s="3">
        <v>0.05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22">
        <f t="shared" si="17"/>
        <v>93.343</v>
      </c>
      <c r="U431" s="16">
        <v>535</v>
      </c>
      <c r="V431" s="3">
        <v>25</v>
      </c>
      <c r="W431" s="3">
        <v>0</v>
      </c>
      <c r="X431" s="3" t="s">
        <v>96</v>
      </c>
      <c r="Y431" s="3" t="s">
        <v>50</v>
      </c>
      <c r="Z431" s="3" t="s">
        <v>37</v>
      </c>
      <c r="AA431" s="3" t="s">
        <v>37</v>
      </c>
      <c r="AB431" s="3" t="s">
        <v>37</v>
      </c>
      <c r="AC431" s="3" t="s">
        <v>97</v>
      </c>
      <c r="AD431" s="27" t="s">
        <v>57</v>
      </c>
      <c r="AE431" s="16" t="s">
        <v>40</v>
      </c>
      <c r="AF431" s="3">
        <v>245</v>
      </c>
      <c r="AG431" s="38" t="s">
        <v>40</v>
      </c>
      <c r="AH431" s="33" t="s">
        <v>137</v>
      </c>
    </row>
    <row r="432" ht="13.9" spans="1:34">
      <c r="A432" s="6">
        <v>2519</v>
      </c>
      <c r="B432" s="7">
        <v>0.05</v>
      </c>
      <c r="C432" s="6">
        <v>0.15</v>
      </c>
      <c r="D432" s="6">
        <v>5.8</v>
      </c>
      <c r="E432" s="6">
        <v>0.28</v>
      </c>
      <c r="F432" s="6">
        <v>0.22</v>
      </c>
      <c r="G432" s="6">
        <v>0</v>
      </c>
      <c r="H432" s="6">
        <v>0</v>
      </c>
      <c r="I432" s="6">
        <v>0</v>
      </c>
      <c r="J432" s="6">
        <v>0.05</v>
      </c>
      <c r="K432" s="6">
        <v>0.2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8">
        <f>100-SUM(B432:L432)</f>
        <v>93.25</v>
      </c>
      <c r="U432" s="7">
        <v>530</v>
      </c>
      <c r="V432" s="6">
        <v>165</v>
      </c>
      <c r="W432" s="6">
        <v>15</v>
      </c>
      <c r="X432" s="6" t="s">
        <v>42</v>
      </c>
      <c r="Y432" s="6" t="s">
        <v>73</v>
      </c>
      <c r="Z432" s="6" t="s">
        <v>37</v>
      </c>
      <c r="AA432" s="6" t="s">
        <v>74</v>
      </c>
      <c r="AB432" s="6" t="s">
        <v>37</v>
      </c>
      <c r="AC432" s="6" t="s">
        <v>59</v>
      </c>
      <c r="AD432" s="8" t="s">
        <v>77</v>
      </c>
      <c r="AE432" s="7">
        <v>445</v>
      </c>
      <c r="AF432" s="6">
        <v>485</v>
      </c>
      <c r="AG432" s="10">
        <v>9</v>
      </c>
      <c r="AH432" s="31" t="s">
        <v>138</v>
      </c>
    </row>
    <row r="433" s="3" customFormat="1" ht="13.9" spans="1:34">
      <c r="A433" s="3">
        <v>2519</v>
      </c>
      <c r="B433" s="16">
        <v>0</v>
      </c>
      <c r="C433" s="3">
        <v>0</v>
      </c>
      <c r="D433" s="3">
        <v>5.8</v>
      </c>
      <c r="E433" s="3">
        <v>0.3</v>
      </c>
      <c r="F433" s="3">
        <v>0.2</v>
      </c>
      <c r="G433" s="3">
        <v>0</v>
      </c>
      <c r="H433" s="3">
        <v>0</v>
      </c>
      <c r="I433" s="3">
        <v>0</v>
      </c>
      <c r="J433" s="3">
        <v>0.05</v>
      </c>
      <c r="K433" s="3">
        <v>0.2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22">
        <f>100-SUM(B433:L433)</f>
        <v>93.45</v>
      </c>
      <c r="U433" s="16">
        <v>535</v>
      </c>
      <c r="V433" s="3">
        <v>165</v>
      </c>
      <c r="W433" s="3">
        <v>14</v>
      </c>
      <c r="X433" s="3" t="s">
        <v>42</v>
      </c>
      <c r="Y433" s="3" t="s">
        <v>73</v>
      </c>
      <c r="Z433" s="3" t="s">
        <v>132</v>
      </c>
      <c r="AA433" s="3" t="s">
        <v>74</v>
      </c>
      <c r="AB433" s="3" t="s">
        <v>37</v>
      </c>
      <c r="AC433" s="3" t="s">
        <v>59</v>
      </c>
      <c r="AD433" s="22" t="s">
        <v>133</v>
      </c>
      <c r="AE433" s="16" t="s">
        <v>40</v>
      </c>
      <c r="AF433" s="3">
        <v>483</v>
      </c>
      <c r="AG433" s="32">
        <v>10.8</v>
      </c>
      <c r="AH433" s="33" t="s">
        <v>139</v>
      </c>
    </row>
    <row r="434" ht="13.9" spans="1:34">
      <c r="A434" s="6">
        <v>2618</v>
      </c>
      <c r="B434" s="7">
        <v>0.175</v>
      </c>
      <c r="C434" s="6">
        <v>1.1</v>
      </c>
      <c r="D434" s="6">
        <v>2.3</v>
      </c>
      <c r="E434" s="6">
        <v>0</v>
      </c>
      <c r="F434" s="6">
        <v>1.55</v>
      </c>
      <c r="G434" s="6">
        <v>0</v>
      </c>
      <c r="H434" s="6">
        <v>0.1</v>
      </c>
      <c r="I434" s="6">
        <v>0</v>
      </c>
      <c r="J434" s="6">
        <v>0.07</v>
      </c>
      <c r="K434" s="6">
        <v>0</v>
      </c>
      <c r="L434" s="6">
        <v>0</v>
      </c>
      <c r="M434" s="6">
        <v>1.05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8">
        <f t="shared" ref="T434:T497" si="18">100-SUM(B434:S434)</f>
        <v>93.655</v>
      </c>
      <c r="U434" s="7">
        <v>530</v>
      </c>
      <c r="V434" s="6">
        <v>200</v>
      </c>
      <c r="W434" s="6">
        <v>20</v>
      </c>
      <c r="X434" s="6" t="s">
        <v>53</v>
      </c>
      <c r="Y434" s="6" t="s">
        <v>73</v>
      </c>
      <c r="Z434" s="6" t="s">
        <v>37</v>
      </c>
      <c r="AA434" s="6" t="s">
        <v>118</v>
      </c>
      <c r="AB434" s="6" t="s">
        <v>37</v>
      </c>
      <c r="AC434" s="6" t="s">
        <v>53</v>
      </c>
      <c r="AD434" s="26" t="s">
        <v>131</v>
      </c>
      <c r="AE434" s="7">
        <v>372</v>
      </c>
      <c r="AF434" s="6">
        <v>441</v>
      </c>
      <c r="AG434" s="34">
        <v>10</v>
      </c>
      <c r="AH434" s="31" t="s">
        <v>54</v>
      </c>
    </row>
    <row r="435" ht="13.9" spans="1:34">
      <c r="A435" s="6">
        <v>2618</v>
      </c>
      <c r="B435" s="7">
        <v>0.175</v>
      </c>
      <c r="C435" s="6">
        <v>1.1</v>
      </c>
      <c r="D435" s="6">
        <v>2.3</v>
      </c>
      <c r="E435" s="6">
        <v>0</v>
      </c>
      <c r="F435" s="6">
        <v>1.55</v>
      </c>
      <c r="G435" s="6">
        <v>0</v>
      </c>
      <c r="H435" s="6">
        <v>0.1</v>
      </c>
      <c r="I435" s="6">
        <v>0</v>
      </c>
      <c r="J435" s="6">
        <v>0.07</v>
      </c>
      <c r="K435" s="6">
        <v>0</v>
      </c>
      <c r="L435" s="6">
        <v>0</v>
      </c>
      <c r="M435" s="6">
        <v>1.05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8">
        <f t="shared" si="18"/>
        <v>93.655</v>
      </c>
      <c r="U435" s="7">
        <v>530</v>
      </c>
      <c r="V435" s="6">
        <v>200</v>
      </c>
      <c r="W435" s="6">
        <v>20</v>
      </c>
      <c r="X435" s="6" t="s">
        <v>42</v>
      </c>
      <c r="Y435" s="6" t="s">
        <v>73</v>
      </c>
      <c r="Z435" s="6" t="s">
        <v>37</v>
      </c>
      <c r="AA435" s="6" t="s">
        <v>118</v>
      </c>
      <c r="AB435" s="6" t="s">
        <v>37</v>
      </c>
      <c r="AC435" s="6" t="s">
        <v>69</v>
      </c>
      <c r="AD435" s="26" t="s">
        <v>131</v>
      </c>
      <c r="AE435" s="7">
        <v>372</v>
      </c>
      <c r="AF435" s="6">
        <v>440</v>
      </c>
      <c r="AG435" s="34">
        <v>10</v>
      </c>
      <c r="AH435" s="31" t="s">
        <v>54</v>
      </c>
    </row>
    <row r="436" ht="13.9" spans="1:34">
      <c r="A436" s="6">
        <v>2618</v>
      </c>
      <c r="B436" s="7">
        <v>0.175</v>
      </c>
      <c r="C436" s="6">
        <v>1.1</v>
      </c>
      <c r="D436" s="6">
        <v>2.3</v>
      </c>
      <c r="E436" s="6">
        <v>0</v>
      </c>
      <c r="F436" s="6">
        <v>1.55</v>
      </c>
      <c r="G436" s="6">
        <v>0</v>
      </c>
      <c r="H436" s="6">
        <v>0.1</v>
      </c>
      <c r="I436" s="6">
        <v>0</v>
      </c>
      <c r="J436" s="6">
        <v>0.07</v>
      </c>
      <c r="K436" s="6">
        <v>0</v>
      </c>
      <c r="L436" s="6">
        <v>0</v>
      </c>
      <c r="M436" s="6">
        <v>1.05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8">
        <f t="shared" si="18"/>
        <v>93.655</v>
      </c>
      <c r="U436" s="7">
        <v>530</v>
      </c>
      <c r="V436" s="6">
        <v>200</v>
      </c>
      <c r="W436" s="6">
        <v>20</v>
      </c>
      <c r="X436" s="6" t="s">
        <v>96</v>
      </c>
      <c r="Y436" s="6" t="s">
        <v>73</v>
      </c>
      <c r="Z436" s="6" t="s">
        <v>37</v>
      </c>
      <c r="AA436" s="6" t="s">
        <v>118</v>
      </c>
      <c r="AB436" s="6" t="s">
        <v>37</v>
      </c>
      <c r="AC436" s="6" t="s">
        <v>97</v>
      </c>
      <c r="AD436" s="26" t="s">
        <v>131</v>
      </c>
      <c r="AE436" s="7">
        <v>298</v>
      </c>
      <c r="AF436" s="6">
        <v>383</v>
      </c>
      <c r="AG436" s="34">
        <v>4.7</v>
      </c>
      <c r="AH436" s="31" t="s">
        <v>54</v>
      </c>
    </row>
    <row r="437" ht="13.9" spans="1:34">
      <c r="A437" s="6">
        <v>2618</v>
      </c>
      <c r="B437" s="7">
        <v>0.175</v>
      </c>
      <c r="C437" s="6">
        <v>1.1</v>
      </c>
      <c r="D437" s="6">
        <v>2.3</v>
      </c>
      <c r="E437" s="6">
        <v>0</v>
      </c>
      <c r="F437" s="6">
        <v>1.55</v>
      </c>
      <c r="G437" s="6">
        <v>0</v>
      </c>
      <c r="H437" s="6">
        <v>0.1</v>
      </c>
      <c r="I437" s="6">
        <v>0</v>
      </c>
      <c r="J437" s="6">
        <v>0.07</v>
      </c>
      <c r="K437" s="6">
        <v>0</v>
      </c>
      <c r="L437" s="6">
        <v>0</v>
      </c>
      <c r="M437" s="6">
        <v>1.05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8">
        <f t="shared" si="18"/>
        <v>93.655</v>
      </c>
      <c r="U437" s="7">
        <v>530</v>
      </c>
      <c r="V437" s="6">
        <v>200</v>
      </c>
      <c r="W437" s="6">
        <v>20</v>
      </c>
      <c r="X437" s="6" t="s">
        <v>42</v>
      </c>
      <c r="Y437" s="6" t="s">
        <v>73</v>
      </c>
      <c r="Z437" s="6" t="s">
        <v>37</v>
      </c>
      <c r="AA437" s="6" t="s">
        <v>118</v>
      </c>
      <c r="AB437" s="6" t="s">
        <v>37</v>
      </c>
      <c r="AC437" s="6" t="s">
        <v>94</v>
      </c>
      <c r="AD437" s="26" t="s">
        <v>131</v>
      </c>
      <c r="AE437" s="7">
        <v>285</v>
      </c>
      <c r="AF437" s="6">
        <v>380</v>
      </c>
      <c r="AG437" s="34">
        <v>5.5</v>
      </c>
      <c r="AH437" s="31" t="s">
        <v>54</v>
      </c>
    </row>
    <row r="438" ht="13.9" spans="1:34">
      <c r="A438" s="6">
        <v>2618</v>
      </c>
      <c r="B438" s="7">
        <v>0.3</v>
      </c>
      <c r="C438" s="6">
        <v>1.6</v>
      </c>
      <c r="D438" s="6">
        <v>2.5</v>
      </c>
      <c r="E438" s="6">
        <v>0</v>
      </c>
      <c r="F438" s="6">
        <v>1.6</v>
      </c>
      <c r="G438" s="6">
        <v>0</v>
      </c>
      <c r="H438" s="6">
        <v>0</v>
      </c>
      <c r="I438" s="6">
        <v>0</v>
      </c>
      <c r="J438" s="6">
        <v>0</v>
      </c>
      <c r="K438" s="6">
        <v>0.16</v>
      </c>
      <c r="L438" s="6">
        <v>0</v>
      </c>
      <c r="M438" s="6">
        <v>1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0.15</v>
      </c>
      <c r="T438" s="8">
        <f t="shared" si="18"/>
        <v>92.69</v>
      </c>
      <c r="U438" s="7">
        <v>490</v>
      </c>
      <c r="V438" s="6">
        <v>180</v>
      </c>
      <c r="W438" s="6">
        <v>4</v>
      </c>
      <c r="X438" s="6" t="s">
        <v>42</v>
      </c>
      <c r="Y438" s="6" t="s">
        <v>73</v>
      </c>
      <c r="Z438" s="6" t="s">
        <v>37</v>
      </c>
      <c r="AA438" s="6" t="s">
        <v>74</v>
      </c>
      <c r="AB438" s="6" t="s">
        <v>37</v>
      </c>
      <c r="AC438" s="6" t="s">
        <v>43</v>
      </c>
      <c r="AD438" s="26" t="s">
        <v>77</v>
      </c>
      <c r="AE438" s="7">
        <v>587</v>
      </c>
      <c r="AF438" s="6" t="s">
        <v>40</v>
      </c>
      <c r="AG438" s="34" t="s">
        <v>40</v>
      </c>
      <c r="AH438" s="31" t="s">
        <v>140</v>
      </c>
    </row>
    <row r="439" ht="13.9" spans="1:34">
      <c r="A439" s="6">
        <v>2618</v>
      </c>
      <c r="B439" s="7">
        <v>0.3</v>
      </c>
      <c r="C439" s="6">
        <v>1.6</v>
      </c>
      <c r="D439" s="6">
        <v>2.5</v>
      </c>
      <c r="E439" s="6">
        <v>0</v>
      </c>
      <c r="F439" s="6">
        <v>1.6</v>
      </c>
      <c r="G439" s="6">
        <v>0</v>
      </c>
      <c r="H439" s="6">
        <v>0</v>
      </c>
      <c r="I439" s="6">
        <v>0</v>
      </c>
      <c r="J439" s="6">
        <v>0</v>
      </c>
      <c r="K439" s="6">
        <v>0.16</v>
      </c>
      <c r="L439" s="6">
        <v>0</v>
      </c>
      <c r="M439" s="6">
        <v>1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0.15</v>
      </c>
      <c r="T439" s="8">
        <f t="shared" si="18"/>
        <v>92.69</v>
      </c>
      <c r="U439" s="7">
        <v>490</v>
      </c>
      <c r="V439" s="6">
        <v>180</v>
      </c>
      <c r="W439" s="6">
        <v>8</v>
      </c>
      <c r="X439" s="6" t="s">
        <v>42</v>
      </c>
      <c r="Y439" s="6" t="s">
        <v>73</v>
      </c>
      <c r="Z439" s="6" t="s">
        <v>37</v>
      </c>
      <c r="AA439" s="6" t="s">
        <v>74</v>
      </c>
      <c r="AB439" s="6" t="s">
        <v>37</v>
      </c>
      <c r="AC439" s="6" t="s">
        <v>43</v>
      </c>
      <c r="AD439" s="26" t="s">
        <v>77</v>
      </c>
      <c r="AE439" s="7">
        <v>587</v>
      </c>
      <c r="AF439" s="6" t="s">
        <v>40</v>
      </c>
      <c r="AG439" s="34" t="s">
        <v>40</v>
      </c>
      <c r="AH439" s="31" t="s">
        <v>140</v>
      </c>
    </row>
    <row r="440" ht="13.9" spans="1:34">
      <c r="A440" s="6">
        <v>2618</v>
      </c>
      <c r="B440" s="7">
        <v>0.3</v>
      </c>
      <c r="C440" s="6">
        <v>1.6</v>
      </c>
      <c r="D440" s="6">
        <v>2.5</v>
      </c>
      <c r="E440" s="6">
        <v>0</v>
      </c>
      <c r="F440" s="6">
        <v>1.6</v>
      </c>
      <c r="G440" s="6">
        <v>0</v>
      </c>
      <c r="H440" s="6">
        <v>0</v>
      </c>
      <c r="I440" s="6">
        <v>0</v>
      </c>
      <c r="J440" s="6">
        <v>0</v>
      </c>
      <c r="K440" s="6">
        <v>0.16</v>
      </c>
      <c r="L440" s="6">
        <v>0</v>
      </c>
      <c r="M440" s="6">
        <v>1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0.15</v>
      </c>
      <c r="T440" s="8">
        <f t="shared" si="18"/>
        <v>92.69</v>
      </c>
      <c r="U440" s="7">
        <v>490</v>
      </c>
      <c r="V440" s="6">
        <v>180</v>
      </c>
      <c r="W440" s="6">
        <v>20</v>
      </c>
      <c r="X440" s="6" t="s">
        <v>42</v>
      </c>
      <c r="Y440" s="6" t="s">
        <v>73</v>
      </c>
      <c r="Z440" s="6" t="s">
        <v>37</v>
      </c>
      <c r="AA440" s="6" t="s">
        <v>74</v>
      </c>
      <c r="AB440" s="6" t="s">
        <v>37</v>
      </c>
      <c r="AC440" s="6" t="s">
        <v>43</v>
      </c>
      <c r="AD440" s="26" t="s">
        <v>77</v>
      </c>
      <c r="AE440" s="7">
        <v>579</v>
      </c>
      <c r="AF440" s="6" t="s">
        <v>40</v>
      </c>
      <c r="AG440" s="34" t="s">
        <v>40</v>
      </c>
      <c r="AH440" s="31" t="s">
        <v>140</v>
      </c>
    </row>
    <row r="441" ht="13.9" spans="1:34">
      <c r="A441" s="6">
        <v>2618</v>
      </c>
      <c r="B441" s="7">
        <v>0.3</v>
      </c>
      <c r="C441" s="6">
        <v>1.6</v>
      </c>
      <c r="D441" s="6">
        <v>2.5</v>
      </c>
      <c r="E441" s="6">
        <v>0</v>
      </c>
      <c r="F441" s="6">
        <v>1.6</v>
      </c>
      <c r="G441" s="6">
        <v>0</v>
      </c>
      <c r="H441" s="6">
        <v>0</v>
      </c>
      <c r="I441" s="6">
        <v>0</v>
      </c>
      <c r="J441" s="6">
        <v>0</v>
      </c>
      <c r="K441" s="6">
        <v>0.16</v>
      </c>
      <c r="L441" s="6">
        <v>0</v>
      </c>
      <c r="M441" s="6">
        <v>1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0.15</v>
      </c>
      <c r="T441" s="8">
        <f t="shared" si="18"/>
        <v>92.69</v>
      </c>
      <c r="U441" s="7">
        <v>490</v>
      </c>
      <c r="V441" s="6">
        <v>25</v>
      </c>
      <c r="W441" s="6">
        <v>0</v>
      </c>
      <c r="X441" s="6" t="s">
        <v>42</v>
      </c>
      <c r="Y441" s="6" t="s">
        <v>73</v>
      </c>
      <c r="Z441" s="6" t="s">
        <v>37</v>
      </c>
      <c r="AA441" s="6" t="s">
        <v>80</v>
      </c>
      <c r="AB441" s="6" t="s">
        <v>37</v>
      </c>
      <c r="AC441" s="6" t="s">
        <v>43</v>
      </c>
      <c r="AD441" s="26" t="s">
        <v>86</v>
      </c>
      <c r="AE441" s="7">
        <v>557</v>
      </c>
      <c r="AF441" s="6" t="s">
        <v>40</v>
      </c>
      <c r="AG441" s="34" t="s">
        <v>40</v>
      </c>
      <c r="AH441" s="31" t="s">
        <v>140</v>
      </c>
    </row>
    <row r="442" ht="13.9" spans="1:34">
      <c r="A442" s="6">
        <v>2618</v>
      </c>
      <c r="B442" s="7">
        <v>0.3</v>
      </c>
      <c r="C442" s="6">
        <v>1.6</v>
      </c>
      <c r="D442" s="6">
        <v>2.5</v>
      </c>
      <c r="E442" s="6">
        <v>0</v>
      </c>
      <c r="F442" s="6">
        <v>1.6</v>
      </c>
      <c r="G442" s="6">
        <v>0</v>
      </c>
      <c r="H442" s="6">
        <v>0</v>
      </c>
      <c r="I442" s="6">
        <v>0</v>
      </c>
      <c r="J442" s="6">
        <v>0</v>
      </c>
      <c r="K442" s="6">
        <v>0.16</v>
      </c>
      <c r="L442" s="6">
        <v>0</v>
      </c>
      <c r="M442" s="6">
        <v>1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0.15</v>
      </c>
      <c r="T442" s="8">
        <f t="shared" si="18"/>
        <v>92.69</v>
      </c>
      <c r="U442" s="7">
        <v>490</v>
      </c>
      <c r="V442" s="6">
        <v>180</v>
      </c>
      <c r="W442" s="6">
        <v>40</v>
      </c>
      <c r="X442" s="6" t="s">
        <v>42</v>
      </c>
      <c r="Y442" s="6" t="s">
        <v>73</v>
      </c>
      <c r="Z442" s="6" t="s">
        <v>37</v>
      </c>
      <c r="AA442" s="6" t="s">
        <v>74</v>
      </c>
      <c r="AB442" s="6" t="s">
        <v>37</v>
      </c>
      <c r="AC442" s="6" t="s">
        <v>43</v>
      </c>
      <c r="AD442" s="26" t="s">
        <v>77</v>
      </c>
      <c r="AE442" s="7">
        <v>545</v>
      </c>
      <c r="AF442" s="6" t="s">
        <v>40</v>
      </c>
      <c r="AG442" s="34" t="s">
        <v>40</v>
      </c>
      <c r="AH442" s="31" t="s">
        <v>140</v>
      </c>
    </row>
    <row r="443" ht="13.9" spans="1:34">
      <c r="A443" s="6">
        <v>2618</v>
      </c>
      <c r="B443" s="7">
        <v>0.3</v>
      </c>
      <c r="C443" s="6">
        <v>1.4</v>
      </c>
      <c r="D443" s="6">
        <v>2.6</v>
      </c>
      <c r="E443" s="6">
        <v>0</v>
      </c>
      <c r="F443" s="6">
        <v>1.6</v>
      </c>
      <c r="G443" s="6">
        <v>0</v>
      </c>
      <c r="H443" s="6">
        <v>0</v>
      </c>
      <c r="I443" s="6">
        <v>0</v>
      </c>
      <c r="J443" s="6">
        <v>0</v>
      </c>
      <c r="K443" s="6">
        <v>0.22</v>
      </c>
      <c r="L443" s="6">
        <v>0</v>
      </c>
      <c r="M443" s="6">
        <v>1.5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0.45</v>
      </c>
      <c r="T443" s="8">
        <f t="shared" si="18"/>
        <v>91.93</v>
      </c>
      <c r="U443" s="7">
        <v>490</v>
      </c>
      <c r="V443" s="6">
        <v>180</v>
      </c>
      <c r="W443" s="6">
        <v>4</v>
      </c>
      <c r="X443" s="6" t="s">
        <v>42</v>
      </c>
      <c r="Y443" s="6" t="s">
        <v>73</v>
      </c>
      <c r="Z443" s="6" t="s">
        <v>37</v>
      </c>
      <c r="AA443" s="6" t="s">
        <v>74</v>
      </c>
      <c r="AB443" s="6" t="s">
        <v>37</v>
      </c>
      <c r="AC443" s="6" t="s">
        <v>43</v>
      </c>
      <c r="AD443" s="26" t="s">
        <v>77</v>
      </c>
      <c r="AE443" s="7">
        <v>478</v>
      </c>
      <c r="AF443" s="6" t="s">
        <v>40</v>
      </c>
      <c r="AG443" s="34" t="s">
        <v>40</v>
      </c>
      <c r="AH443" s="31" t="s">
        <v>140</v>
      </c>
    </row>
    <row r="444" ht="13.9" spans="1:34">
      <c r="A444" s="6">
        <v>2618</v>
      </c>
      <c r="B444" s="7">
        <v>0.3</v>
      </c>
      <c r="C444" s="6">
        <v>1.4</v>
      </c>
      <c r="D444" s="6">
        <v>2.6</v>
      </c>
      <c r="E444" s="6">
        <v>0</v>
      </c>
      <c r="F444" s="6">
        <v>1.6</v>
      </c>
      <c r="G444" s="6">
        <v>0</v>
      </c>
      <c r="H444" s="6">
        <v>0</v>
      </c>
      <c r="I444" s="6">
        <v>0</v>
      </c>
      <c r="J444" s="6">
        <v>0</v>
      </c>
      <c r="K444" s="6">
        <v>0.22</v>
      </c>
      <c r="L444" s="6">
        <v>0</v>
      </c>
      <c r="M444" s="6">
        <v>1.5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0.45</v>
      </c>
      <c r="T444" s="8">
        <f t="shared" si="18"/>
        <v>91.93</v>
      </c>
      <c r="U444" s="7">
        <v>490</v>
      </c>
      <c r="V444" s="6">
        <v>180</v>
      </c>
      <c r="W444" s="6">
        <v>40</v>
      </c>
      <c r="X444" s="6" t="s">
        <v>42</v>
      </c>
      <c r="Y444" s="6" t="s">
        <v>73</v>
      </c>
      <c r="Z444" s="6" t="s">
        <v>37</v>
      </c>
      <c r="AA444" s="6" t="s">
        <v>74</v>
      </c>
      <c r="AB444" s="6" t="s">
        <v>37</v>
      </c>
      <c r="AC444" s="6" t="s">
        <v>43</v>
      </c>
      <c r="AD444" s="26" t="s">
        <v>77</v>
      </c>
      <c r="AE444" s="7">
        <v>471</v>
      </c>
      <c r="AF444" s="6" t="s">
        <v>40</v>
      </c>
      <c r="AG444" s="34" t="s">
        <v>40</v>
      </c>
      <c r="AH444" s="31" t="s">
        <v>140</v>
      </c>
    </row>
    <row r="445" ht="13.9" spans="1:34">
      <c r="A445" s="6">
        <v>2618</v>
      </c>
      <c r="B445" s="7">
        <v>0.3</v>
      </c>
      <c r="C445" s="6">
        <v>1.4</v>
      </c>
      <c r="D445" s="6">
        <v>2.6</v>
      </c>
      <c r="E445" s="6">
        <v>0</v>
      </c>
      <c r="F445" s="6">
        <v>1.6</v>
      </c>
      <c r="G445" s="6">
        <v>0</v>
      </c>
      <c r="H445" s="6">
        <v>0</v>
      </c>
      <c r="I445" s="6">
        <v>0</v>
      </c>
      <c r="J445" s="6">
        <v>0</v>
      </c>
      <c r="K445" s="6">
        <v>0.22</v>
      </c>
      <c r="L445" s="6">
        <v>0</v>
      </c>
      <c r="M445" s="6">
        <v>1.5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0.45</v>
      </c>
      <c r="T445" s="8">
        <f t="shared" si="18"/>
        <v>91.93</v>
      </c>
      <c r="U445" s="7">
        <v>490</v>
      </c>
      <c r="V445" s="6">
        <v>180</v>
      </c>
      <c r="W445" s="6">
        <v>20</v>
      </c>
      <c r="X445" s="6" t="s">
        <v>42</v>
      </c>
      <c r="Y445" s="6" t="s">
        <v>73</v>
      </c>
      <c r="Z445" s="6" t="s">
        <v>37</v>
      </c>
      <c r="AA445" s="6" t="s">
        <v>74</v>
      </c>
      <c r="AB445" s="6" t="s">
        <v>37</v>
      </c>
      <c r="AC445" s="6" t="s">
        <v>43</v>
      </c>
      <c r="AD445" s="26" t="s">
        <v>77</v>
      </c>
      <c r="AE445" s="7">
        <v>462</v>
      </c>
      <c r="AF445" s="6" t="s">
        <v>40</v>
      </c>
      <c r="AG445" s="34" t="s">
        <v>40</v>
      </c>
      <c r="AH445" s="31" t="s">
        <v>140</v>
      </c>
    </row>
    <row r="446" ht="13.9" spans="1:34">
      <c r="A446" s="6">
        <v>2618</v>
      </c>
      <c r="B446" s="7">
        <v>0.3</v>
      </c>
      <c r="C446" s="6">
        <v>1.4</v>
      </c>
      <c r="D446" s="6">
        <v>2.6</v>
      </c>
      <c r="E446" s="6">
        <v>0</v>
      </c>
      <c r="F446" s="6">
        <v>1.6</v>
      </c>
      <c r="G446" s="6">
        <v>0</v>
      </c>
      <c r="H446" s="6">
        <v>0</v>
      </c>
      <c r="I446" s="6">
        <v>0</v>
      </c>
      <c r="J446" s="6">
        <v>0</v>
      </c>
      <c r="K446" s="6">
        <v>0.22</v>
      </c>
      <c r="L446" s="6">
        <v>0</v>
      </c>
      <c r="M446" s="6">
        <v>1.5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0.45</v>
      </c>
      <c r="T446" s="8">
        <f t="shared" si="18"/>
        <v>91.93</v>
      </c>
      <c r="U446" s="7">
        <v>490</v>
      </c>
      <c r="V446" s="6">
        <v>180</v>
      </c>
      <c r="W446" s="6">
        <v>8</v>
      </c>
      <c r="X446" s="6" t="s">
        <v>42</v>
      </c>
      <c r="Y446" s="6" t="s">
        <v>73</v>
      </c>
      <c r="Z446" s="6" t="s">
        <v>37</v>
      </c>
      <c r="AA446" s="6" t="s">
        <v>74</v>
      </c>
      <c r="AB446" s="6" t="s">
        <v>37</v>
      </c>
      <c r="AC446" s="6" t="s">
        <v>43</v>
      </c>
      <c r="AD446" s="26" t="s">
        <v>77</v>
      </c>
      <c r="AE446" s="7">
        <v>451</v>
      </c>
      <c r="AF446" s="6" t="s">
        <v>40</v>
      </c>
      <c r="AG446" s="34" t="s">
        <v>40</v>
      </c>
      <c r="AH446" s="31" t="s">
        <v>140</v>
      </c>
    </row>
    <row r="447" ht="13.9" spans="1:34">
      <c r="A447" s="6">
        <v>2618</v>
      </c>
      <c r="B447" s="7">
        <v>0.3</v>
      </c>
      <c r="C447" s="6">
        <v>1.4</v>
      </c>
      <c r="D447" s="6">
        <v>2.6</v>
      </c>
      <c r="E447" s="6">
        <v>0</v>
      </c>
      <c r="F447" s="6">
        <v>1.6</v>
      </c>
      <c r="G447" s="6">
        <v>0</v>
      </c>
      <c r="H447" s="6">
        <v>0</v>
      </c>
      <c r="I447" s="6">
        <v>0</v>
      </c>
      <c r="J447" s="6">
        <v>0</v>
      </c>
      <c r="K447" s="6">
        <v>0.22</v>
      </c>
      <c r="L447" s="6">
        <v>0</v>
      </c>
      <c r="M447" s="6">
        <v>1.5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0.45</v>
      </c>
      <c r="T447" s="8">
        <f t="shared" si="18"/>
        <v>91.93</v>
      </c>
      <c r="U447" s="7">
        <v>490</v>
      </c>
      <c r="V447" s="6">
        <v>25</v>
      </c>
      <c r="W447" s="6">
        <v>0</v>
      </c>
      <c r="X447" s="6" t="s">
        <v>42</v>
      </c>
      <c r="Y447" s="6" t="s">
        <v>73</v>
      </c>
      <c r="Z447" s="6" t="s">
        <v>37</v>
      </c>
      <c r="AA447" s="6" t="s">
        <v>80</v>
      </c>
      <c r="AB447" s="6" t="s">
        <v>37</v>
      </c>
      <c r="AC447" s="6" t="s">
        <v>43</v>
      </c>
      <c r="AD447" s="26" t="s">
        <v>86</v>
      </c>
      <c r="AE447" s="7">
        <v>390</v>
      </c>
      <c r="AF447" s="6" t="s">
        <v>40</v>
      </c>
      <c r="AG447" s="34" t="s">
        <v>40</v>
      </c>
      <c r="AH447" s="31" t="s">
        <v>140</v>
      </c>
    </row>
    <row r="448" ht="13.9" spans="1:34">
      <c r="A448" s="6">
        <v>2618</v>
      </c>
      <c r="B448" s="7">
        <v>0.4</v>
      </c>
      <c r="C448" s="6">
        <v>1.6</v>
      </c>
      <c r="D448" s="6">
        <v>3.5</v>
      </c>
      <c r="E448" s="6">
        <v>0</v>
      </c>
      <c r="F448" s="6">
        <v>1.6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1.4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8">
        <f t="shared" si="18"/>
        <v>91.5</v>
      </c>
      <c r="U448" s="7">
        <v>490</v>
      </c>
      <c r="V448" s="6">
        <v>180</v>
      </c>
      <c r="W448" s="6">
        <v>20</v>
      </c>
      <c r="X448" s="6" t="s">
        <v>42</v>
      </c>
      <c r="Y448" s="6" t="s">
        <v>73</v>
      </c>
      <c r="Z448" s="6" t="s">
        <v>37</v>
      </c>
      <c r="AA448" s="6" t="s">
        <v>74</v>
      </c>
      <c r="AB448" s="6" t="s">
        <v>37</v>
      </c>
      <c r="AC448" s="6" t="s">
        <v>43</v>
      </c>
      <c r="AD448" s="26" t="s">
        <v>77</v>
      </c>
      <c r="AE448" s="7">
        <v>349</v>
      </c>
      <c r="AF448" s="6" t="s">
        <v>40</v>
      </c>
      <c r="AG448" s="34" t="s">
        <v>40</v>
      </c>
      <c r="AH448" s="31" t="s">
        <v>140</v>
      </c>
    </row>
    <row r="449" ht="13.9" spans="1:34">
      <c r="A449" s="6">
        <v>2618</v>
      </c>
      <c r="B449" s="7">
        <v>0.4</v>
      </c>
      <c r="C449" s="6">
        <v>1.6</v>
      </c>
      <c r="D449" s="6">
        <v>3.5</v>
      </c>
      <c r="E449" s="6">
        <v>0</v>
      </c>
      <c r="F449" s="6">
        <v>1.6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1.4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8">
        <f t="shared" si="18"/>
        <v>91.5</v>
      </c>
      <c r="U449" s="7">
        <v>490</v>
      </c>
      <c r="V449" s="6">
        <v>180</v>
      </c>
      <c r="W449" s="6">
        <v>8</v>
      </c>
      <c r="X449" s="6" t="s">
        <v>42</v>
      </c>
      <c r="Y449" s="6" t="s">
        <v>73</v>
      </c>
      <c r="Z449" s="6" t="s">
        <v>37</v>
      </c>
      <c r="AA449" s="6" t="s">
        <v>74</v>
      </c>
      <c r="AB449" s="6" t="s">
        <v>37</v>
      </c>
      <c r="AC449" s="6" t="s">
        <v>43</v>
      </c>
      <c r="AD449" s="26" t="s">
        <v>77</v>
      </c>
      <c r="AE449" s="7">
        <v>345</v>
      </c>
      <c r="AF449" s="6" t="s">
        <v>40</v>
      </c>
      <c r="AG449" s="34" t="s">
        <v>40</v>
      </c>
      <c r="AH449" s="31" t="s">
        <v>140</v>
      </c>
    </row>
    <row r="450" ht="13.9" spans="1:34">
      <c r="A450" s="6">
        <v>2618</v>
      </c>
      <c r="B450" s="7">
        <v>0.4</v>
      </c>
      <c r="C450" s="6">
        <v>1.6</v>
      </c>
      <c r="D450" s="6">
        <v>3.5</v>
      </c>
      <c r="E450" s="6">
        <v>0</v>
      </c>
      <c r="F450" s="6">
        <v>1.6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1.4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8">
        <f t="shared" si="18"/>
        <v>91.5</v>
      </c>
      <c r="U450" s="7">
        <v>490</v>
      </c>
      <c r="V450" s="6">
        <v>180</v>
      </c>
      <c r="W450" s="6">
        <v>4</v>
      </c>
      <c r="X450" s="6" t="s">
        <v>42</v>
      </c>
      <c r="Y450" s="6" t="s">
        <v>73</v>
      </c>
      <c r="Z450" s="6" t="s">
        <v>37</v>
      </c>
      <c r="AA450" s="6" t="s">
        <v>74</v>
      </c>
      <c r="AB450" s="6" t="s">
        <v>37</v>
      </c>
      <c r="AC450" s="6" t="s">
        <v>43</v>
      </c>
      <c r="AD450" s="26" t="s">
        <v>77</v>
      </c>
      <c r="AE450" s="7">
        <v>339</v>
      </c>
      <c r="AF450" s="6" t="s">
        <v>40</v>
      </c>
      <c r="AG450" s="34" t="s">
        <v>40</v>
      </c>
      <c r="AH450" s="31" t="s">
        <v>140</v>
      </c>
    </row>
    <row r="451" ht="13.9" spans="1:34">
      <c r="A451" s="6">
        <v>2618</v>
      </c>
      <c r="B451" s="7">
        <v>0.4</v>
      </c>
      <c r="C451" s="6">
        <v>1.6</v>
      </c>
      <c r="D451" s="6">
        <v>3.5</v>
      </c>
      <c r="E451" s="6">
        <v>0</v>
      </c>
      <c r="F451" s="6">
        <v>1.6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1.4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8">
        <f t="shared" si="18"/>
        <v>91.5</v>
      </c>
      <c r="U451" s="7">
        <v>490</v>
      </c>
      <c r="V451" s="6">
        <v>25</v>
      </c>
      <c r="W451" s="6">
        <v>0</v>
      </c>
      <c r="X451" s="6" t="s">
        <v>42</v>
      </c>
      <c r="Y451" s="6" t="s">
        <v>73</v>
      </c>
      <c r="Z451" s="6" t="s">
        <v>37</v>
      </c>
      <c r="AA451" s="6" t="s">
        <v>80</v>
      </c>
      <c r="AB451" s="6" t="s">
        <v>37</v>
      </c>
      <c r="AC451" s="6" t="s">
        <v>43</v>
      </c>
      <c r="AD451" s="26" t="s">
        <v>86</v>
      </c>
      <c r="AE451" s="7">
        <v>336</v>
      </c>
      <c r="AF451" s="6" t="s">
        <v>40</v>
      </c>
      <c r="AG451" s="34" t="s">
        <v>40</v>
      </c>
      <c r="AH451" s="31" t="s">
        <v>140</v>
      </c>
    </row>
    <row r="452" ht="13.9" spans="1:34">
      <c r="A452" s="6">
        <v>2618</v>
      </c>
      <c r="B452" s="7">
        <v>0.4</v>
      </c>
      <c r="C452" s="6">
        <v>1.6</v>
      </c>
      <c r="D452" s="6">
        <v>3.5</v>
      </c>
      <c r="E452" s="6">
        <v>0</v>
      </c>
      <c r="F452" s="6">
        <v>1.6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1.4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8">
        <f t="shared" si="18"/>
        <v>91.5</v>
      </c>
      <c r="U452" s="7">
        <v>490</v>
      </c>
      <c r="V452" s="6">
        <v>180</v>
      </c>
      <c r="W452" s="6">
        <v>40</v>
      </c>
      <c r="X452" s="6" t="s">
        <v>42</v>
      </c>
      <c r="Y452" s="6" t="s">
        <v>73</v>
      </c>
      <c r="Z452" s="6" t="s">
        <v>37</v>
      </c>
      <c r="AA452" s="6" t="s">
        <v>74</v>
      </c>
      <c r="AB452" s="6" t="s">
        <v>37</v>
      </c>
      <c r="AC452" s="6" t="s">
        <v>43</v>
      </c>
      <c r="AD452" s="26" t="s">
        <v>77</v>
      </c>
      <c r="AE452" s="7">
        <v>330</v>
      </c>
      <c r="AF452" s="6" t="s">
        <v>40</v>
      </c>
      <c r="AG452" s="34" t="s">
        <v>40</v>
      </c>
      <c r="AH452" s="31" t="s">
        <v>140</v>
      </c>
    </row>
    <row r="453" s="3" customFormat="1" ht="13.9" spans="1:34">
      <c r="A453" s="3">
        <v>2618</v>
      </c>
      <c r="B453" s="16">
        <v>0</v>
      </c>
      <c r="C453" s="3">
        <v>0.93</v>
      </c>
      <c r="D453" s="3">
        <v>2.23</v>
      </c>
      <c r="E453" s="3">
        <v>0</v>
      </c>
      <c r="F453" s="3">
        <v>1.21</v>
      </c>
      <c r="G453" s="3">
        <v>0</v>
      </c>
      <c r="H453" s="3">
        <v>0</v>
      </c>
      <c r="I453" s="3">
        <v>0</v>
      </c>
      <c r="J453" s="3">
        <v>0</v>
      </c>
      <c r="K453" s="3">
        <v>0.3</v>
      </c>
      <c r="L453" s="3">
        <v>0</v>
      </c>
      <c r="M453" s="3">
        <v>1.09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0.3</v>
      </c>
      <c r="T453" s="22">
        <f t="shared" si="18"/>
        <v>93.94</v>
      </c>
      <c r="U453" s="16">
        <v>510</v>
      </c>
      <c r="V453" s="3">
        <v>200</v>
      </c>
      <c r="W453" s="3">
        <v>18</v>
      </c>
      <c r="X453" s="3" t="s">
        <v>42</v>
      </c>
      <c r="Y453" s="3" t="s">
        <v>73</v>
      </c>
      <c r="Z453" s="3" t="s">
        <v>37</v>
      </c>
      <c r="AA453" s="3" t="s">
        <v>74</v>
      </c>
      <c r="AB453" s="3" t="s">
        <v>37</v>
      </c>
      <c r="AC453" s="3" t="s">
        <v>43</v>
      </c>
      <c r="AD453" s="27" t="s">
        <v>77</v>
      </c>
      <c r="AE453" s="16">
        <v>342</v>
      </c>
      <c r="AF453" s="3">
        <v>392</v>
      </c>
      <c r="AG453" s="38">
        <v>6</v>
      </c>
      <c r="AH453" s="33" t="s">
        <v>141</v>
      </c>
    </row>
    <row r="454" ht="13.9" spans="1:34">
      <c r="A454" s="6">
        <v>3003</v>
      </c>
      <c r="B454" s="7">
        <v>0.6</v>
      </c>
      <c r="C454" s="6">
        <v>0.7</v>
      </c>
      <c r="D454" s="6">
        <v>0.125</v>
      </c>
      <c r="E454" s="6">
        <v>1.25</v>
      </c>
      <c r="F454" s="6">
        <v>0</v>
      </c>
      <c r="G454" s="6">
        <v>0</v>
      </c>
      <c r="H454" s="6">
        <v>0.1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8">
        <f t="shared" si="18"/>
        <v>97.225</v>
      </c>
      <c r="U454" s="7">
        <v>25</v>
      </c>
      <c r="V454" s="6">
        <v>25</v>
      </c>
      <c r="W454" s="6">
        <v>0</v>
      </c>
      <c r="X454" s="6" t="s">
        <v>53</v>
      </c>
      <c r="Y454" s="6" t="s">
        <v>35</v>
      </c>
      <c r="Z454" s="6" t="s">
        <v>36</v>
      </c>
      <c r="AA454" s="6" t="s">
        <v>37</v>
      </c>
      <c r="AB454" s="6" t="s">
        <v>37</v>
      </c>
      <c r="AC454" s="6" t="s">
        <v>53</v>
      </c>
      <c r="AD454" s="26" t="s">
        <v>39</v>
      </c>
      <c r="AE454" s="7">
        <v>185</v>
      </c>
      <c r="AF454" s="6">
        <v>200</v>
      </c>
      <c r="AG454" s="34">
        <v>7</v>
      </c>
      <c r="AH454" s="31" t="s">
        <v>54</v>
      </c>
    </row>
    <row r="455" ht="13.9" spans="1:34">
      <c r="A455" s="6">
        <v>3003</v>
      </c>
      <c r="B455" s="7">
        <v>0.6</v>
      </c>
      <c r="C455" s="6">
        <v>0.7</v>
      </c>
      <c r="D455" s="6">
        <v>0.125</v>
      </c>
      <c r="E455" s="6">
        <v>1.25</v>
      </c>
      <c r="F455" s="6">
        <v>0</v>
      </c>
      <c r="G455" s="6">
        <v>0</v>
      </c>
      <c r="H455" s="6">
        <v>0.1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8">
        <f t="shared" si="18"/>
        <v>97.225</v>
      </c>
      <c r="U455" s="7">
        <v>25</v>
      </c>
      <c r="V455" s="6">
        <v>25</v>
      </c>
      <c r="W455" s="6">
        <v>0</v>
      </c>
      <c r="X455" s="6" t="s">
        <v>42</v>
      </c>
      <c r="Y455" s="6" t="s">
        <v>35</v>
      </c>
      <c r="Z455" s="6" t="s">
        <v>36</v>
      </c>
      <c r="AA455" s="6" t="s">
        <v>37</v>
      </c>
      <c r="AB455" s="6" t="s">
        <v>37</v>
      </c>
      <c r="AC455" s="6" t="s">
        <v>43</v>
      </c>
      <c r="AD455" s="26" t="s">
        <v>39</v>
      </c>
      <c r="AE455" s="7">
        <v>165</v>
      </c>
      <c r="AF455" s="6">
        <v>185</v>
      </c>
      <c r="AG455" s="10">
        <v>2.5</v>
      </c>
      <c r="AH455" s="31" t="s">
        <v>54</v>
      </c>
    </row>
    <row r="456" ht="13.9" spans="1:34">
      <c r="A456" s="6">
        <v>3003</v>
      </c>
      <c r="B456" s="7">
        <v>0.6</v>
      </c>
      <c r="C456" s="6">
        <v>0.7</v>
      </c>
      <c r="D456" s="6">
        <v>0.125</v>
      </c>
      <c r="E456" s="6">
        <v>1.25</v>
      </c>
      <c r="F456" s="6">
        <v>0</v>
      </c>
      <c r="G456" s="6">
        <v>0</v>
      </c>
      <c r="H456" s="6">
        <v>0.1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8">
        <f t="shared" si="18"/>
        <v>97.225</v>
      </c>
      <c r="U456" s="7">
        <v>25</v>
      </c>
      <c r="V456" s="6">
        <v>25</v>
      </c>
      <c r="W456" s="6">
        <v>0</v>
      </c>
      <c r="X456" s="6" t="s">
        <v>42</v>
      </c>
      <c r="Y456" s="6" t="s">
        <v>35</v>
      </c>
      <c r="Z456" s="6" t="s">
        <v>55</v>
      </c>
      <c r="AA456" s="6" t="s">
        <v>37</v>
      </c>
      <c r="AB456" s="6" t="s">
        <v>37</v>
      </c>
      <c r="AC456" s="6" t="s">
        <v>43</v>
      </c>
      <c r="AD456" s="26" t="s">
        <v>56</v>
      </c>
      <c r="AE456" s="7">
        <v>145</v>
      </c>
      <c r="AF456" s="6">
        <v>182.5</v>
      </c>
      <c r="AG456" s="10">
        <v>2.5</v>
      </c>
      <c r="AH456" s="31" t="s">
        <v>54</v>
      </c>
    </row>
    <row r="457" ht="13.9" spans="1:34">
      <c r="A457" s="6">
        <v>3003</v>
      </c>
      <c r="B457" s="7">
        <v>0.6</v>
      </c>
      <c r="C457" s="6">
        <v>0.7</v>
      </c>
      <c r="D457" s="6">
        <v>0.125</v>
      </c>
      <c r="E457" s="6">
        <v>1.25</v>
      </c>
      <c r="F457" s="6">
        <v>0</v>
      </c>
      <c r="G457" s="6">
        <v>0</v>
      </c>
      <c r="H457" s="6">
        <v>0.1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8">
        <f t="shared" si="18"/>
        <v>97.225</v>
      </c>
      <c r="U457" s="7">
        <v>25</v>
      </c>
      <c r="V457" s="6">
        <v>25</v>
      </c>
      <c r="W457" s="6">
        <v>0</v>
      </c>
      <c r="X457" s="6" t="s">
        <v>53</v>
      </c>
      <c r="Y457" s="6" t="s">
        <v>35</v>
      </c>
      <c r="Z457" s="6" t="s">
        <v>55</v>
      </c>
      <c r="AA457" s="6" t="s">
        <v>37</v>
      </c>
      <c r="AB457" s="6" t="s">
        <v>37</v>
      </c>
      <c r="AC457" s="6" t="s">
        <v>53</v>
      </c>
      <c r="AD457" s="26" t="s">
        <v>56</v>
      </c>
      <c r="AE457" s="7">
        <v>175</v>
      </c>
      <c r="AF457" s="6">
        <v>175</v>
      </c>
      <c r="AG457" s="10">
        <v>9.5</v>
      </c>
      <c r="AH457" s="31" t="s">
        <v>54</v>
      </c>
    </row>
    <row r="458" ht="13.9" spans="1:34">
      <c r="A458" s="6">
        <v>3003</v>
      </c>
      <c r="B458" s="7">
        <v>0.6</v>
      </c>
      <c r="C458" s="6">
        <v>0.7</v>
      </c>
      <c r="D458" s="6">
        <v>0.125</v>
      </c>
      <c r="E458" s="6">
        <v>1.25</v>
      </c>
      <c r="F458" s="6">
        <v>0</v>
      </c>
      <c r="G458" s="6">
        <v>0</v>
      </c>
      <c r="H458" s="6">
        <v>0.1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8">
        <f t="shared" si="18"/>
        <v>97.225</v>
      </c>
      <c r="U458" s="7">
        <v>25</v>
      </c>
      <c r="V458" s="6">
        <v>25</v>
      </c>
      <c r="W458" s="6">
        <v>0</v>
      </c>
      <c r="X458" s="6" t="s">
        <v>42</v>
      </c>
      <c r="Y458" s="6" t="s">
        <v>35</v>
      </c>
      <c r="Z458" s="6" t="s">
        <v>46</v>
      </c>
      <c r="AA458" s="6" t="s">
        <v>37</v>
      </c>
      <c r="AB458" s="6" t="s">
        <v>37</v>
      </c>
      <c r="AC458" s="6" t="s">
        <v>59</v>
      </c>
      <c r="AD458" s="26" t="s">
        <v>47</v>
      </c>
      <c r="AE458" s="7">
        <v>115</v>
      </c>
      <c r="AF458" s="6">
        <v>160</v>
      </c>
      <c r="AG458" s="34">
        <v>5.5</v>
      </c>
      <c r="AH458" s="31" t="s">
        <v>54</v>
      </c>
    </row>
    <row r="459" ht="13.9" spans="1:34">
      <c r="A459" s="6">
        <v>3003</v>
      </c>
      <c r="B459" s="7">
        <v>0.6</v>
      </c>
      <c r="C459" s="6">
        <v>0.7</v>
      </c>
      <c r="D459" s="6">
        <v>0.125</v>
      </c>
      <c r="E459" s="6">
        <v>1.25</v>
      </c>
      <c r="F459" s="6">
        <v>0</v>
      </c>
      <c r="G459" s="6">
        <v>0</v>
      </c>
      <c r="H459" s="6">
        <v>0.1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8">
        <f t="shared" si="18"/>
        <v>97.225</v>
      </c>
      <c r="U459" s="7">
        <v>25</v>
      </c>
      <c r="V459" s="6">
        <v>25</v>
      </c>
      <c r="W459" s="6">
        <v>0</v>
      </c>
      <c r="X459" s="6" t="s">
        <v>42</v>
      </c>
      <c r="Y459" s="6" t="s">
        <v>35</v>
      </c>
      <c r="Z459" s="6" t="s">
        <v>46</v>
      </c>
      <c r="AA459" s="6" t="s">
        <v>37</v>
      </c>
      <c r="AB459" s="6" t="s">
        <v>37</v>
      </c>
      <c r="AC459" s="6" t="s">
        <v>43</v>
      </c>
      <c r="AD459" s="26" t="s">
        <v>47</v>
      </c>
      <c r="AE459" s="7">
        <v>115</v>
      </c>
      <c r="AF459" s="6">
        <v>160</v>
      </c>
      <c r="AG459" s="10">
        <v>5.5</v>
      </c>
      <c r="AH459" s="31" t="s">
        <v>54</v>
      </c>
    </row>
    <row r="460" ht="13.9" spans="1:34">
      <c r="A460" s="6">
        <v>3003</v>
      </c>
      <c r="B460" s="7">
        <v>0.6</v>
      </c>
      <c r="C460" s="6">
        <v>0.7</v>
      </c>
      <c r="D460" s="6">
        <v>0.125</v>
      </c>
      <c r="E460" s="6">
        <v>1.25</v>
      </c>
      <c r="F460" s="6">
        <v>0</v>
      </c>
      <c r="G460" s="6">
        <v>0</v>
      </c>
      <c r="H460" s="6">
        <v>0.1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8">
        <f t="shared" si="18"/>
        <v>97.225</v>
      </c>
      <c r="U460" s="7">
        <v>25</v>
      </c>
      <c r="V460" s="6">
        <v>25</v>
      </c>
      <c r="W460" s="6">
        <v>0</v>
      </c>
      <c r="X460" s="6" t="s">
        <v>53</v>
      </c>
      <c r="Y460" s="6" t="s">
        <v>35</v>
      </c>
      <c r="Z460" s="6" t="s">
        <v>46</v>
      </c>
      <c r="AA460" s="6" t="s">
        <v>37</v>
      </c>
      <c r="AB460" s="6" t="s">
        <v>37</v>
      </c>
      <c r="AC460" s="6" t="s">
        <v>53</v>
      </c>
      <c r="AD460" s="26" t="s">
        <v>47</v>
      </c>
      <c r="AE460" s="7">
        <v>145</v>
      </c>
      <c r="AF460" s="6">
        <v>150</v>
      </c>
      <c r="AG460" s="34">
        <v>14</v>
      </c>
      <c r="AH460" s="31" t="s">
        <v>54</v>
      </c>
    </row>
    <row r="461" ht="13.9" spans="1:34">
      <c r="A461" s="6">
        <v>3003</v>
      </c>
      <c r="B461" s="7">
        <v>0.6</v>
      </c>
      <c r="C461" s="6">
        <v>0.7</v>
      </c>
      <c r="D461" s="6">
        <v>0.125</v>
      </c>
      <c r="E461" s="6">
        <v>1.25</v>
      </c>
      <c r="F461" s="6">
        <v>0</v>
      </c>
      <c r="G461" s="6">
        <v>0</v>
      </c>
      <c r="H461" s="6">
        <v>0.1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8">
        <f t="shared" si="18"/>
        <v>97.225</v>
      </c>
      <c r="U461" s="7">
        <v>25</v>
      </c>
      <c r="V461" s="6">
        <v>25</v>
      </c>
      <c r="W461" s="6">
        <v>0</v>
      </c>
      <c r="X461" s="6" t="s">
        <v>42</v>
      </c>
      <c r="Y461" s="6" t="s">
        <v>35</v>
      </c>
      <c r="Z461" s="6" t="s">
        <v>65</v>
      </c>
      <c r="AA461" s="6" t="s">
        <v>37</v>
      </c>
      <c r="AB461" s="6" t="s">
        <v>37</v>
      </c>
      <c r="AC461" s="6" t="s">
        <v>59</v>
      </c>
      <c r="AD461" s="26" t="s">
        <v>66</v>
      </c>
      <c r="AE461" s="7">
        <v>83</v>
      </c>
      <c r="AF461" s="6">
        <v>137.5</v>
      </c>
      <c r="AG461" s="34">
        <v>6.5</v>
      </c>
      <c r="AH461" s="31" t="s">
        <v>54</v>
      </c>
    </row>
    <row r="462" ht="13.9" spans="1:34">
      <c r="A462" s="6">
        <v>3003</v>
      </c>
      <c r="B462" s="7">
        <v>0.6</v>
      </c>
      <c r="C462" s="6">
        <v>0.7</v>
      </c>
      <c r="D462" s="6">
        <v>0.125</v>
      </c>
      <c r="E462" s="6">
        <v>1.25</v>
      </c>
      <c r="F462" s="6">
        <v>0</v>
      </c>
      <c r="G462" s="6">
        <v>0</v>
      </c>
      <c r="H462" s="6">
        <v>0.1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8">
        <f t="shared" si="18"/>
        <v>97.225</v>
      </c>
      <c r="U462" s="7">
        <v>25</v>
      </c>
      <c r="V462" s="6">
        <v>25</v>
      </c>
      <c r="W462" s="6">
        <v>0</v>
      </c>
      <c r="X462" s="6" t="s">
        <v>42</v>
      </c>
      <c r="Y462" s="6" t="s">
        <v>35</v>
      </c>
      <c r="Z462" s="6" t="s">
        <v>65</v>
      </c>
      <c r="AA462" s="6" t="s">
        <v>37</v>
      </c>
      <c r="AB462" s="6" t="s">
        <v>37</v>
      </c>
      <c r="AC462" s="6" t="s">
        <v>43</v>
      </c>
      <c r="AD462" s="26" t="s">
        <v>66</v>
      </c>
      <c r="AE462" s="7">
        <v>83</v>
      </c>
      <c r="AF462" s="6">
        <v>137.5</v>
      </c>
      <c r="AG462" s="10">
        <v>6.5</v>
      </c>
      <c r="AH462" s="31" t="s">
        <v>54</v>
      </c>
    </row>
    <row r="463" ht="13.9" spans="1:34">
      <c r="A463" s="6">
        <v>3003</v>
      </c>
      <c r="B463" s="7">
        <v>0.6</v>
      </c>
      <c r="C463" s="6">
        <v>0.7</v>
      </c>
      <c r="D463" s="6">
        <v>0.125</v>
      </c>
      <c r="E463" s="6">
        <v>1.25</v>
      </c>
      <c r="F463" s="6">
        <v>0</v>
      </c>
      <c r="G463" s="6">
        <v>0</v>
      </c>
      <c r="H463" s="6">
        <v>0.1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8">
        <f t="shared" si="18"/>
        <v>97.225</v>
      </c>
      <c r="U463" s="7">
        <v>25</v>
      </c>
      <c r="V463" s="6">
        <v>25</v>
      </c>
      <c r="W463" s="6">
        <v>0</v>
      </c>
      <c r="X463" s="6" t="s">
        <v>53</v>
      </c>
      <c r="Y463" s="6" t="s">
        <v>35</v>
      </c>
      <c r="Z463" s="6" t="s">
        <v>65</v>
      </c>
      <c r="AA463" s="6" t="s">
        <v>37</v>
      </c>
      <c r="AB463" s="6" t="s">
        <v>37</v>
      </c>
      <c r="AC463" s="6" t="s">
        <v>53</v>
      </c>
      <c r="AD463" s="26" t="s">
        <v>66</v>
      </c>
      <c r="AE463" s="7">
        <v>125</v>
      </c>
      <c r="AF463" s="6">
        <v>130</v>
      </c>
      <c r="AG463" s="10">
        <v>15</v>
      </c>
      <c r="AH463" s="31" t="s">
        <v>54</v>
      </c>
    </row>
    <row r="464" ht="13.9" spans="1:34">
      <c r="A464" s="6">
        <v>3003</v>
      </c>
      <c r="B464" s="7">
        <v>0.6</v>
      </c>
      <c r="C464" s="6">
        <v>0.7</v>
      </c>
      <c r="D464" s="6">
        <v>0.125</v>
      </c>
      <c r="E464" s="6">
        <v>1.25</v>
      </c>
      <c r="F464" s="6">
        <v>0</v>
      </c>
      <c r="G464" s="6">
        <v>0</v>
      </c>
      <c r="H464" s="6">
        <v>0.1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8">
        <f t="shared" si="18"/>
        <v>97.225</v>
      </c>
      <c r="U464" s="7">
        <v>415</v>
      </c>
      <c r="V464" s="6">
        <v>25</v>
      </c>
      <c r="W464" s="6">
        <v>0</v>
      </c>
      <c r="X464" s="6" t="s">
        <v>42</v>
      </c>
      <c r="Y464" s="6" t="s">
        <v>50</v>
      </c>
      <c r="Z464" s="6" t="s">
        <v>37</v>
      </c>
      <c r="AA464" s="6" t="s">
        <v>37</v>
      </c>
      <c r="AB464" s="6" t="s">
        <v>37</v>
      </c>
      <c r="AC464" s="6" t="s">
        <v>59</v>
      </c>
      <c r="AD464" s="26" t="s">
        <v>57</v>
      </c>
      <c r="AE464" s="7">
        <v>34</v>
      </c>
      <c r="AF464" s="6">
        <v>113.5</v>
      </c>
      <c r="AG464" s="34">
        <v>19.5</v>
      </c>
      <c r="AH464" s="31" t="s">
        <v>54</v>
      </c>
    </row>
    <row r="465" ht="13.9" spans="1:34">
      <c r="A465" s="6">
        <v>3003</v>
      </c>
      <c r="B465" s="7">
        <v>0.6</v>
      </c>
      <c r="C465" s="6">
        <v>0.7</v>
      </c>
      <c r="D465" s="6">
        <v>0.125</v>
      </c>
      <c r="E465" s="6">
        <v>1.25</v>
      </c>
      <c r="F465" s="6">
        <v>0</v>
      </c>
      <c r="G465" s="6">
        <v>0</v>
      </c>
      <c r="H465" s="6">
        <v>0.1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8">
        <f t="shared" si="18"/>
        <v>97.225</v>
      </c>
      <c r="U465" s="7">
        <v>415</v>
      </c>
      <c r="V465" s="6">
        <v>25</v>
      </c>
      <c r="W465" s="6">
        <v>0</v>
      </c>
      <c r="X465" s="6" t="s">
        <v>42</v>
      </c>
      <c r="Y465" s="6" t="s">
        <v>50</v>
      </c>
      <c r="Z465" s="6" t="s">
        <v>37</v>
      </c>
      <c r="AA465" s="6" t="s">
        <v>37</v>
      </c>
      <c r="AB465" s="6" t="s">
        <v>37</v>
      </c>
      <c r="AC465" s="6" t="s">
        <v>43</v>
      </c>
      <c r="AD465" s="26" t="s">
        <v>57</v>
      </c>
      <c r="AE465" s="7">
        <v>34</v>
      </c>
      <c r="AF465" s="6">
        <v>113.5</v>
      </c>
      <c r="AG465" s="34">
        <v>19.5</v>
      </c>
      <c r="AH465" s="31" t="s">
        <v>54</v>
      </c>
    </row>
    <row r="466" ht="13.9" spans="1:34">
      <c r="A466" s="6">
        <v>3003</v>
      </c>
      <c r="B466" s="7">
        <v>0.6</v>
      </c>
      <c r="C466" s="6">
        <v>0.7</v>
      </c>
      <c r="D466" s="6">
        <v>0.125</v>
      </c>
      <c r="E466" s="6">
        <v>1.25</v>
      </c>
      <c r="F466" s="6">
        <v>0</v>
      </c>
      <c r="G466" s="6">
        <v>0</v>
      </c>
      <c r="H466" s="6">
        <v>0.1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8">
        <f t="shared" si="18"/>
        <v>97.225</v>
      </c>
      <c r="U466" s="7">
        <v>415</v>
      </c>
      <c r="V466" s="6">
        <v>25</v>
      </c>
      <c r="W466" s="6">
        <v>0</v>
      </c>
      <c r="X466" s="6" t="s">
        <v>53</v>
      </c>
      <c r="Y466" s="6" t="s">
        <v>50</v>
      </c>
      <c r="Z466" s="6" t="s">
        <v>37</v>
      </c>
      <c r="AA466" s="6" t="s">
        <v>37</v>
      </c>
      <c r="AB466" s="6" t="s">
        <v>37</v>
      </c>
      <c r="AC466" s="6" t="s">
        <v>53</v>
      </c>
      <c r="AD466" s="26" t="s">
        <v>57</v>
      </c>
      <c r="AE466" s="7">
        <v>36</v>
      </c>
      <c r="AF466" s="6">
        <v>110</v>
      </c>
      <c r="AG466" s="10">
        <v>35</v>
      </c>
      <c r="AH466" s="31" t="s">
        <v>54</v>
      </c>
    </row>
    <row r="467" ht="13.9" spans="1:34">
      <c r="A467" s="6">
        <v>3003</v>
      </c>
      <c r="B467" s="7">
        <v>0.6</v>
      </c>
      <c r="C467" s="6">
        <v>0.7</v>
      </c>
      <c r="D467" s="6">
        <v>0.125</v>
      </c>
      <c r="E467" s="6">
        <v>1.25</v>
      </c>
      <c r="F467" s="6">
        <v>0</v>
      </c>
      <c r="G467" s="6">
        <v>0</v>
      </c>
      <c r="H467" s="6">
        <v>0.1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8">
        <f t="shared" si="18"/>
        <v>97.225</v>
      </c>
      <c r="U467" s="7">
        <v>25</v>
      </c>
      <c r="V467" s="6">
        <v>25</v>
      </c>
      <c r="W467" s="6">
        <v>0</v>
      </c>
      <c r="X467" s="6" t="s">
        <v>42</v>
      </c>
      <c r="Y467" s="6" t="s">
        <v>35</v>
      </c>
      <c r="Z467" s="6" t="s">
        <v>67</v>
      </c>
      <c r="AA467" s="6" t="s">
        <v>37</v>
      </c>
      <c r="AB467" s="6" t="s">
        <v>37</v>
      </c>
      <c r="AC467" s="6" t="s">
        <v>59</v>
      </c>
      <c r="AD467" s="26" t="s">
        <v>68</v>
      </c>
      <c r="AE467" s="7">
        <v>48</v>
      </c>
      <c r="AF467" s="6">
        <v>104</v>
      </c>
      <c r="AG467" s="34">
        <v>12.7</v>
      </c>
      <c r="AH467" s="31" t="s">
        <v>54</v>
      </c>
    </row>
    <row r="468" ht="13.9" spans="1:34">
      <c r="A468" s="6">
        <v>3003</v>
      </c>
      <c r="B468" s="7">
        <v>0.1</v>
      </c>
      <c r="C468" s="6">
        <v>0.5</v>
      </c>
      <c r="D468" s="6">
        <v>0.12</v>
      </c>
      <c r="E468" s="6">
        <v>1.09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8">
        <f t="shared" si="18"/>
        <v>98.19</v>
      </c>
      <c r="U468" s="7">
        <v>25</v>
      </c>
      <c r="V468" s="6">
        <v>25</v>
      </c>
      <c r="W468" s="6">
        <v>0</v>
      </c>
      <c r="X468" s="6" t="s">
        <v>44</v>
      </c>
      <c r="Y468" s="6" t="s">
        <v>35</v>
      </c>
      <c r="Z468" s="6" t="s">
        <v>37</v>
      </c>
      <c r="AA468" s="6" t="s">
        <v>37</v>
      </c>
      <c r="AB468" s="6" t="s">
        <v>37</v>
      </c>
      <c r="AC468" s="6" t="s">
        <v>69</v>
      </c>
      <c r="AD468" s="26" t="s">
        <v>52</v>
      </c>
      <c r="AE468" s="7">
        <v>62</v>
      </c>
      <c r="AF468" s="6">
        <v>111</v>
      </c>
      <c r="AG468" s="34" t="s">
        <v>40</v>
      </c>
      <c r="AH468" s="31" t="s">
        <v>142</v>
      </c>
    </row>
    <row r="469" ht="13.9" spans="1:34">
      <c r="A469" s="6">
        <v>3003</v>
      </c>
      <c r="B469" s="7">
        <v>0.1</v>
      </c>
      <c r="C469" s="6">
        <v>0.5</v>
      </c>
      <c r="D469" s="6">
        <v>0.12</v>
      </c>
      <c r="E469" s="6">
        <v>1.09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8">
        <f t="shared" si="18"/>
        <v>98.19</v>
      </c>
      <c r="U469" s="7">
        <v>600</v>
      </c>
      <c r="V469" s="6">
        <v>25</v>
      </c>
      <c r="W469" s="6">
        <v>0</v>
      </c>
      <c r="X469" s="6" t="s">
        <v>44</v>
      </c>
      <c r="Y469" s="6" t="s">
        <v>50</v>
      </c>
      <c r="Z469" s="6" t="s">
        <v>37</v>
      </c>
      <c r="AA469" s="6" t="s">
        <v>37</v>
      </c>
      <c r="AB469" s="6" t="s">
        <v>37</v>
      </c>
      <c r="AC469" s="6" t="s">
        <v>69</v>
      </c>
      <c r="AD469" s="26" t="s">
        <v>57</v>
      </c>
      <c r="AE469" s="7">
        <v>59</v>
      </c>
      <c r="AF469" s="6">
        <v>109</v>
      </c>
      <c r="AG469" s="34" t="s">
        <v>40</v>
      </c>
      <c r="AH469" s="31" t="s">
        <v>142</v>
      </c>
    </row>
    <row r="470" ht="13.9" spans="1:34">
      <c r="A470" s="6">
        <v>3003</v>
      </c>
      <c r="B470" s="7">
        <v>0.6</v>
      </c>
      <c r="C470" s="6">
        <v>0.7</v>
      </c>
      <c r="D470" s="6">
        <v>0.125</v>
      </c>
      <c r="E470" s="6">
        <v>1.25</v>
      </c>
      <c r="F470" s="6">
        <v>0</v>
      </c>
      <c r="G470" s="6">
        <v>0</v>
      </c>
      <c r="H470" s="6">
        <v>0.1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8">
        <f t="shared" si="18"/>
        <v>97.225</v>
      </c>
      <c r="U470" s="7">
        <v>415</v>
      </c>
      <c r="V470" s="6">
        <v>25</v>
      </c>
      <c r="W470" s="6">
        <v>0</v>
      </c>
      <c r="X470" s="6" t="s">
        <v>42</v>
      </c>
      <c r="Y470" s="6" t="s">
        <v>50</v>
      </c>
      <c r="Z470" s="6" t="s">
        <v>37</v>
      </c>
      <c r="AA470" s="6" t="s">
        <v>37</v>
      </c>
      <c r="AB470" s="6" t="s">
        <v>37</v>
      </c>
      <c r="AC470" s="6" t="s">
        <v>69</v>
      </c>
      <c r="AD470" s="26" t="s">
        <v>57</v>
      </c>
      <c r="AE470" s="7">
        <v>40</v>
      </c>
      <c r="AF470" s="6">
        <v>110</v>
      </c>
      <c r="AG470" s="34">
        <v>40</v>
      </c>
      <c r="AH470" s="31" t="s">
        <v>98</v>
      </c>
    </row>
    <row r="471" ht="13.9" spans="1:34">
      <c r="A471" s="6">
        <v>3003</v>
      </c>
      <c r="B471" s="7">
        <v>0.6</v>
      </c>
      <c r="C471" s="6">
        <v>0.7</v>
      </c>
      <c r="D471" s="6">
        <v>0.2</v>
      </c>
      <c r="E471" s="6">
        <v>1.5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8">
        <f t="shared" si="18"/>
        <v>97</v>
      </c>
      <c r="U471" s="7">
        <v>25</v>
      </c>
      <c r="V471" s="6">
        <v>25</v>
      </c>
      <c r="W471" s="6">
        <v>0</v>
      </c>
      <c r="X471" s="6" t="s">
        <v>42</v>
      </c>
      <c r="Y471" s="6" t="s">
        <v>35</v>
      </c>
      <c r="Z471" s="6" t="s">
        <v>36</v>
      </c>
      <c r="AA471" s="6" t="s">
        <v>37</v>
      </c>
      <c r="AB471" s="6" t="s">
        <v>37</v>
      </c>
      <c r="AC471" s="6" t="s">
        <v>43</v>
      </c>
      <c r="AD471" s="26" t="s">
        <v>39</v>
      </c>
      <c r="AE471" s="7">
        <v>185</v>
      </c>
      <c r="AF471" s="6">
        <v>200</v>
      </c>
      <c r="AG471" s="34" t="s">
        <v>40</v>
      </c>
      <c r="AH471" s="31" t="s">
        <v>143</v>
      </c>
    </row>
    <row r="472" ht="13.9" spans="1:34">
      <c r="A472" s="6">
        <v>3003</v>
      </c>
      <c r="B472" s="7">
        <v>0.6</v>
      </c>
      <c r="C472" s="6">
        <v>0.7</v>
      </c>
      <c r="D472" s="6">
        <v>0.2</v>
      </c>
      <c r="E472" s="6">
        <v>1.5</v>
      </c>
      <c r="F472" s="6">
        <v>0</v>
      </c>
      <c r="G472" s="6">
        <v>0</v>
      </c>
      <c r="H472" s="6">
        <v>0.1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8">
        <f t="shared" si="18"/>
        <v>96.9</v>
      </c>
      <c r="U472" s="7">
        <v>25</v>
      </c>
      <c r="V472" s="6">
        <v>25</v>
      </c>
      <c r="W472" s="6">
        <v>0</v>
      </c>
      <c r="X472" s="6" t="s">
        <v>42</v>
      </c>
      <c r="Y472" s="6" t="s">
        <v>35</v>
      </c>
      <c r="Z472" s="6" t="s">
        <v>55</v>
      </c>
      <c r="AA472" s="6" t="s">
        <v>37</v>
      </c>
      <c r="AB472" s="6" t="s">
        <v>37</v>
      </c>
      <c r="AC472" s="6" t="s">
        <v>43</v>
      </c>
      <c r="AD472" s="26" t="s">
        <v>56</v>
      </c>
      <c r="AE472" s="7">
        <v>158.5</v>
      </c>
      <c r="AF472" s="6">
        <v>172</v>
      </c>
      <c r="AG472" s="34" t="s">
        <v>40</v>
      </c>
      <c r="AH472" s="31" t="s">
        <v>144</v>
      </c>
    </row>
    <row r="473" ht="13.9" spans="1:34">
      <c r="A473" s="6">
        <v>3003</v>
      </c>
      <c r="B473" s="7">
        <v>0.4</v>
      </c>
      <c r="C473" s="6">
        <v>0.6</v>
      </c>
      <c r="D473" s="6">
        <v>0.1</v>
      </c>
      <c r="E473" s="6">
        <v>1.1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8">
        <f t="shared" si="18"/>
        <v>97.8</v>
      </c>
      <c r="U473" s="7">
        <v>25</v>
      </c>
      <c r="V473" s="6">
        <v>25</v>
      </c>
      <c r="W473" s="6">
        <v>0</v>
      </c>
      <c r="X473" s="6" t="s">
        <v>42</v>
      </c>
      <c r="Y473" s="6" t="s">
        <v>35</v>
      </c>
      <c r="Z473" s="6" t="s">
        <v>37</v>
      </c>
      <c r="AA473" s="6" t="s">
        <v>37</v>
      </c>
      <c r="AB473" s="6" t="s">
        <v>37</v>
      </c>
      <c r="AC473" s="6" t="s">
        <v>43</v>
      </c>
      <c r="AD473" s="26" t="s">
        <v>52</v>
      </c>
      <c r="AE473" s="7">
        <v>60</v>
      </c>
      <c r="AF473" s="6">
        <v>245</v>
      </c>
      <c r="AG473" s="34">
        <v>8.3</v>
      </c>
      <c r="AH473" s="31" t="s">
        <v>145</v>
      </c>
    </row>
    <row r="474" ht="13.9" spans="1:34">
      <c r="A474" s="6">
        <v>3003</v>
      </c>
      <c r="B474" s="7">
        <v>0.4</v>
      </c>
      <c r="C474" s="6">
        <v>0.6</v>
      </c>
      <c r="D474" s="6">
        <v>0.1</v>
      </c>
      <c r="E474" s="6">
        <v>1.1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8">
        <f t="shared" si="18"/>
        <v>97.8</v>
      </c>
      <c r="U474" s="7">
        <v>400</v>
      </c>
      <c r="V474" s="6">
        <v>25</v>
      </c>
      <c r="W474" s="6">
        <v>0</v>
      </c>
      <c r="X474" s="6" t="s">
        <v>42</v>
      </c>
      <c r="Y474" s="6" t="s">
        <v>50</v>
      </c>
      <c r="Z474" s="6" t="s">
        <v>37</v>
      </c>
      <c r="AA474" s="6" t="s">
        <v>37</v>
      </c>
      <c r="AB474" s="6" t="s">
        <v>37</v>
      </c>
      <c r="AC474" s="6" t="s">
        <v>43</v>
      </c>
      <c r="AD474" s="26" t="s">
        <v>57</v>
      </c>
      <c r="AE474" s="7">
        <v>40</v>
      </c>
      <c r="AF474" s="6">
        <v>184</v>
      </c>
      <c r="AG474" s="34">
        <v>39</v>
      </c>
      <c r="AH474" s="31" t="s">
        <v>145</v>
      </c>
    </row>
    <row r="475" ht="13.9" spans="1:34">
      <c r="A475" s="6">
        <v>3003</v>
      </c>
      <c r="B475" s="7">
        <v>0.286</v>
      </c>
      <c r="C475" s="6">
        <v>0.56</v>
      </c>
      <c r="D475" s="6">
        <v>0.118</v>
      </c>
      <c r="E475" s="6">
        <v>1.039</v>
      </c>
      <c r="F475" s="6">
        <v>0.046</v>
      </c>
      <c r="G475" s="6">
        <v>0.006</v>
      </c>
      <c r="H475" s="6">
        <v>0</v>
      </c>
      <c r="I475" s="6">
        <v>0</v>
      </c>
      <c r="J475" s="6">
        <v>0.031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8">
        <f t="shared" si="18"/>
        <v>97.914</v>
      </c>
      <c r="U475" s="7">
        <v>415</v>
      </c>
      <c r="V475" s="6">
        <v>25</v>
      </c>
      <c r="W475" s="6">
        <v>0</v>
      </c>
      <c r="X475" s="6" t="s">
        <v>42</v>
      </c>
      <c r="Y475" s="6" t="s">
        <v>50</v>
      </c>
      <c r="Z475" s="6" t="s">
        <v>37</v>
      </c>
      <c r="AA475" s="6" t="s">
        <v>37</v>
      </c>
      <c r="AB475" s="6" t="s">
        <v>37</v>
      </c>
      <c r="AC475" s="6" t="s">
        <v>43</v>
      </c>
      <c r="AD475" s="26" t="s">
        <v>57</v>
      </c>
      <c r="AE475" s="7">
        <v>55</v>
      </c>
      <c r="AF475" s="6">
        <v>120</v>
      </c>
      <c r="AG475" s="10">
        <v>30</v>
      </c>
      <c r="AH475" s="48" t="s">
        <v>146</v>
      </c>
    </row>
    <row r="476" ht="13.9" spans="1:34">
      <c r="A476" s="6">
        <v>3003</v>
      </c>
      <c r="B476" s="7">
        <v>0.6</v>
      </c>
      <c r="C476" s="6">
        <v>0.7</v>
      </c>
      <c r="D476" s="6">
        <v>0.125</v>
      </c>
      <c r="E476" s="6">
        <v>1.25</v>
      </c>
      <c r="F476" s="6">
        <v>0</v>
      </c>
      <c r="G476" s="6">
        <v>0</v>
      </c>
      <c r="H476" s="6">
        <v>0.1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8">
        <f t="shared" si="18"/>
        <v>97.225</v>
      </c>
      <c r="U476" s="7">
        <v>410</v>
      </c>
      <c r="V476" s="6">
        <v>25</v>
      </c>
      <c r="W476" s="6">
        <v>0</v>
      </c>
      <c r="X476" s="6" t="s">
        <v>44</v>
      </c>
      <c r="Y476" s="6" t="s">
        <v>50</v>
      </c>
      <c r="Z476" s="6" t="s">
        <v>37</v>
      </c>
      <c r="AA476" s="6" t="s">
        <v>37</v>
      </c>
      <c r="AB476" s="6" t="s">
        <v>37</v>
      </c>
      <c r="AC476" s="6" t="s">
        <v>45</v>
      </c>
      <c r="AD476" s="26" t="s">
        <v>57</v>
      </c>
      <c r="AE476" s="7">
        <v>42</v>
      </c>
      <c r="AF476" s="6">
        <v>97</v>
      </c>
      <c r="AG476" s="34">
        <v>18</v>
      </c>
      <c r="AH476" s="31" t="s">
        <v>147</v>
      </c>
    </row>
    <row r="477" ht="13.9" spans="1:34">
      <c r="A477" s="6">
        <v>3003</v>
      </c>
      <c r="B477" s="7">
        <v>0.6</v>
      </c>
      <c r="C477" s="6">
        <v>0.7</v>
      </c>
      <c r="D477" s="6">
        <v>0.15</v>
      </c>
      <c r="E477" s="6">
        <v>1.6</v>
      </c>
      <c r="F477" s="6">
        <v>0</v>
      </c>
      <c r="G477" s="6">
        <v>0</v>
      </c>
      <c r="H477" s="6">
        <v>1.5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8">
        <f t="shared" si="18"/>
        <v>95.45</v>
      </c>
      <c r="U477" s="7">
        <v>380</v>
      </c>
      <c r="V477" s="6">
        <v>25</v>
      </c>
      <c r="W477" s="6">
        <v>0</v>
      </c>
      <c r="X477" s="6" t="s">
        <v>42</v>
      </c>
      <c r="Y477" s="6" t="s">
        <v>50</v>
      </c>
      <c r="Z477" s="6" t="s">
        <v>37</v>
      </c>
      <c r="AA477" s="6" t="s">
        <v>37</v>
      </c>
      <c r="AB477" s="6" t="s">
        <v>37</v>
      </c>
      <c r="AC477" s="6" t="s">
        <v>70</v>
      </c>
      <c r="AD477" s="26" t="s">
        <v>57</v>
      </c>
      <c r="AE477" s="7">
        <v>60</v>
      </c>
      <c r="AF477" s="6">
        <v>160</v>
      </c>
      <c r="AG477" s="34">
        <v>4.2</v>
      </c>
      <c r="AH477" s="31" t="s">
        <v>148</v>
      </c>
    </row>
    <row r="478" ht="13.9" spans="1:34">
      <c r="A478" s="6">
        <v>3003</v>
      </c>
      <c r="B478" s="7">
        <v>0.6</v>
      </c>
      <c r="C478" s="6">
        <v>0.7</v>
      </c>
      <c r="D478" s="6">
        <v>0.15</v>
      </c>
      <c r="E478" s="6">
        <v>1.6</v>
      </c>
      <c r="F478" s="6">
        <v>0</v>
      </c>
      <c r="G478" s="6">
        <v>0</v>
      </c>
      <c r="H478" s="6">
        <v>1.8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8">
        <f t="shared" si="18"/>
        <v>95.15</v>
      </c>
      <c r="U478" s="7">
        <v>380</v>
      </c>
      <c r="V478" s="6">
        <v>25</v>
      </c>
      <c r="W478" s="6">
        <v>0</v>
      </c>
      <c r="X478" s="6" t="s">
        <v>42</v>
      </c>
      <c r="Y478" s="6" t="s">
        <v>50</v>
      </c>
      <c r="Z478" s="6" t="s">
        <v>37</v>
      </c>
      <c r="AA478" s="6" t="s">
        <v>37</v>
      </c>
      <c r="AB478" s="6" t="s">
        <v>37</v>
      </c>
      <c r="AC478" s="6" t="s">
        <v>70</v>
      </c>
      <c r="AD478" s="26" t="s">
        <v>57</v>
      </c>
      <c r="AE478" s="7">
        <v>67</v>
      </c>
      <c r="AF478" s="6">
        <v>154</v>
      </c>
      <c r="AG478" s="34">
        <v>7</v>
      </c>
      <c r="AH478" s="31" t="s">
        <v>148</v>
      </c>
    </row>
    <row r="479" s="3" customFormat="1" ht="13.9" spans="1:34">
      <c r="A479" s="3">
        <v>3003</v>
      </c>
      <c r="B479" s="16">
        <v>0.6</v>
      </c>
      <c r="C479" s="3">
        <v>0.7</v>
      </c>
      <c r="D479" s="3">
        <v>0.15</v>
      </c>
      <c r="E479" s="3">
        <v>1.6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22">
        <f t="shared" si="18"/>
        <v>96.95</v>
      </c>
      <c r="U479" s="16">
        <v>380</v>
      </c>
      <c r="V479" s="3">
        <v>25</v>
      </c>
      <c r="W479" s="3">
        <v>0</v>
      </c>
      <c r="X479" s="3" t="s">
        <v>42</v>
      </c>
      <c r="Y479" s="3" t="s">
        <v>50</v>
      </c>
      <c r="Z479" s="3" t="s">
        <v>37</v>
      </c>
      <c r="AA479" s="3" t="s">
        <v>37</v>
      </c>
      <c r="AB479" s="3" t="s">
        <v>37</v>
      </c>
      <c r="AC479" s="3" t="s">
        <v>70</v>
      </c>
      <c r="AD479" s="27" t="s">
        <v>57</v>
      </c>
      <c r="AE479" s="16">
        <v>47</v>
      </c>
      <c r="AF479" s="3">
        <v>133</v>
      </c>
      <c r="AG479" s="38">
        <v>7.5</v>
      </c>
      <c r="AH479" s="33" t="s">
        <v>148</v>
      </c>
    </row>
    <row r="480" ht="13.9" spans="1:34">
      <c r="A480" s="6">
        <v>3004</v>
      </c>
      <c r="B480" s="7">
        <v>0.3</v>
      </c>
      <c r="C480" s="6">
        <v>0.7</v>
      </c>
      <c r="D480" s="6">
        <v>0.25</v>
      </c>
      <c r="E480" s="6">
        <v>1.25</v>
      </c>
      <c r="F480" s="6">
        <v>1.05</v>
      </c>
      <c r="G480" s="6">
        <v>0</v>
      </c>
      <c r="H480" s="6">
        <v>0.25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8">
        <f t="shared" si="18"/>
        <v>96.2</v>
      </c>
      <c r="U480" s="7">
        <v>25</v>
      </c>
      <c r="V480" s="6">
        <v>25</v>
      </c>
      <c r="W480" s="6">
        <v>0</v>
      </c>
      <c r="X480" s="6" t="s">
        <v>53</v>
      </c>
      <c r="Y480" s="6" t="s">
        <v>35</v>
      </c>
      <c r="Z480" s="6" t="s">
        <v>36</v>
      </c>
      <c r="AA480" s="6" t="s">
        <v>37</v>
      </c>
      <c r="AB480" s="6" t="s">
        <v>149</v>
      </c>
      <c r="AC480" s="6" t="s">
        <v>53</v>
      </c>
      <c r="AD480" s="26" t="s">
        <v>150</v>
      </c>
      <c r="AE480" s="7">
        <v>250</v>
      </c>
      <c r="AF480" s="6">
        <v>285</v>
      </c>
      <c r="AG480" s="10">
        <v>5.5</v>
      </c>
      <c r="AH480" s="31" t="s">
        <v>54</v>
      </c>
    </row>
    <row r="481" ht="13.9" spans="1:34">
      <c r="A481" s="6">
        <v>3004</v>
      </c>
      <c r="B481" s="7">
        <v>0.3</v>
      </c>
      <c r="C481" s="6">
        <v>0.7</v>
      </c>
      <c r="D481" s="6">
        <v>0.25</v>
      </c>
      <c r="E481" s="6">
        <v>1.25</v>
      </c>
      <c r="F481" s="6">
        <v>1.05</v>
      </c>
      <c r="G481" s="6">
        <v>0</v>
      </c>
      <c r="H481" s="6">
        <v>0.25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8">
        <f t="shared" si="18"/>
        <v>96.2</v>
      </c>
      <c r="U481" s="7">
        <v>25</v>
      </c>
      <c r="V481" s="6">
        <v>25</v>
      </c>
      <c r="W481" s="6">
        <v>0</v>
      </c>
      <c r="X481" s="6" t="s">
        <v>42</v>
      </c>
      <c r="Y481" s="6" t="s">
        <v>35</v>
      </c>
      <c r="Z481" s="6" t="s">
        <v>55</v>
      </c>
      <c r="AA481" s="6" t="s">
        <v>37</v>
      </c>
      <c r="AB481" s="6" t="s">
        <v>149</v>
      </c>
      <c r="AC481" s="6" t="s">
        <v>43</v>
      </c>
      <c r="AD481" s="26" t="s">
        <v>151</v>
      </c>
      <c r="AE481" s="7">
        <v>195</v>
      </c>
      <c r="AF481" s="6">
        <v>262.5</v>
      </c>
      <c r="AG481" s="10">
        <v>2.5</v>
      </c>
      <c r="AH481" s="31" t="s">
        <v>54</v>
      </c>
    </row>
    <row r="482" ht="13.9" spans="1:34">
      <c r="A482" s="6">
        <v>3004</v>
      </c>
      <c r="B482" s="7">
        <v>0.3</v>
      </c>
      <c r="C482" s="6">
        <v>0.7</v>
      </c>
      <c r="D482" s="6">
        <v>0.25</v>
      </c>
      <c r="E482" s="6">
        <v>1.25</v>
      </c>
      <c r="F482" s="6">
        <v>1.05</v>
      </c>
      <c r="G482" s="6">
        <v>0</v>
      </c>
      <c r="H482" s="6">
        <v>0.25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8">
        <f t="shared" si="18"/>
        <v>96.2</v>
      </c>
      <c r="U482" s="7">
        <v>25</v>
      </c>
      <c r="V482" s="6">
        <v>25</v>
      </c>
      <c r="W482" s="6">
        <v>0</v>
      </c>
      <c r="X482" s="6" t="s">
        <v>53</v>
      </c>
      <c r="Y482" s="6" t="s">
        <v>35</v>
      </c>
      <c r="Z482" s="6" t="s">
        <v>55</v>
      </c>
      <c r="AA482" s="6" t="s">
        <v>37</v>
      </c>
      <c r="AB482" s="6" t="s">
        <v>149</v>
      </c>
      <c r="AC482" s="6" t="s">
        <v>53</v>
      </c>
      <c r="AD482" s="26" t="s">
        <v>151</v>
      </c>
      <c r="AE482" s="7">
        <v>230</v>
      </c>
      <c r="AF482" s="6">
        <v>260</v>
      </c>
      <c r="AG482" s="10">
        <v>7</v>
      </c>
      <c r="AH482" s="31" t="s">
        <v>54</v>
      </c>
    </row>
    <row r="483" ht="13.9" spans="1:34">
      <c r="A483" s="6">
        <v>3004</v>
      </c>
      <c r="B483" s="7">
        <v>0.3</v>
      </c>
      <c r="C483" s="6">
        <v>0.7</v>
      </c>
      <c r="D483" s="6">
        <v>0.25</v>
      </c>
      <c r="E483" s="6">
        <v>1.25</v>
      </c>
      <c r="F483" s="6">
        <v>1.05</v>
      </c>
      <c r="G483" s="6">
        <v>0</v>
      </c>
      <c r="H483" s="6">
        <v>0.25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8">
        <f t="shared" si="18"/>
        <v>96.2</v>
      </c>
      <c r="U483" s="7">
        <v>25</v>
      </c>
      <c r="V483" s="6">
        <v>25</v>
      </c>
      <c r="W483" s="6">
        <v>0</v>
      </c>
      <c r="X483" s="6" t="s">
        <v>42</v>
      </c>
      <c r="Y483" s="6" t="s">
        <v>35</v>
      </c>
      <c r="Z483" s="6" t="s">
        <v>36</v>
      </c>
      <c r="AA483" s="6" t="s">
        <v>37</v>
      </c>
      <c r="AB483" s="6" t="s">
        <v>149</v>
      </c>
      <c r="AC483" s="6" t="s">
        <v>43</v>
      </c>
      <c r="AD483" s="26" t="s">
        <v>150</v>
      </c>
      <c r="AE483" s="7">
        <v>215</v>
      </c>
      <c r="AF483" s="6">
        <v>260</v>
      </c>
      <c r="AG483" s="10">
        <v>2.5</v>
      </c>
      <c r="AH483" s="31" t="s">
        <v>54</v>
      </c>
    </row>
    <row r="484" ht="13.9" spans="1:34">
      <c r="A484" s="6">
        <v>3004</v>
      </c>
      <c r="B484" s="7">
        <v>0.3</v>
      </c>
      <c r="C484" s="6">
        <v>0.7</v>
      </c>
      <c r="D484" s="6">
        <v>0.25</v>
      </c>
      <c r="E484" s="6">
        <v>1.25</v>
      </c>
      <c r="F484" s="6">
        <v>1.05</v>
      </c>
      <c r="G484" s="6">
        <v>0</v>
      </c>
      <c r="H484" s="6">
        <v>0.25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8">
        <f t="shared" si="18"/>
        <v>96.2</v>
      </c>
      <c r="U484" s="7">
        <v>25</v>
      </c>
      <c r="V484" s="6">
        <v>25</v>
      </c>
      <c r="W484" s="6">
        <v>0</v>
      </c>
      <c r="X484" s="6" t="s">
        <v>53</v>
      </c>
      <c r="Y484" s="6" t="s">
        <v>35</v>
      </c>
      <c r="Z484" s="6" t="s">
        <v>46</v>
      </c>
      <c r="AA484" s="6" t="s">
        <v>37</v>
      </c>
      <c r="AB484" s="6" t="s">
        <v>149</v>
      </c>
      <c r="AC484" s="6" t="s">
        <v>53</v>
      </c>
      <c r="AD484" s="26" t="s">
        <v>152</v>
      </c>
      <c r="AE484" s="7">
        <v>200</v>
      </c>
      <c r="AF484" s="6">
        <v>240</v>
      </c>
      <c r="AG484" s="10">
        <v>11.3</v>
      </c>
      <c r="AH484" s="31" t="s">
        <v>54</v>
      </c>
    </row>
    <row r="485" ht="13.9" spans="1:34">
      <c r="A485" s="6">
        <v>3004</v>
      </c>
      <c r="B485" s="7">
        <v>0.3</v>
      </c>
      <c r="C485" s="6">
        <v>0.7</v>
      </c>
      <c r="D485" s="6">
        <v>0.25</v>
      </c>
      <c r="E485" s="6">
        <v>1.25</v>
      </c>
      <c r="F485" s="6">
        <v>1.05</v>
      </c>
      <c r="G485" s="6">
        <v>0</v>
      </c>
      <c r="H485" s="6">
        <v>0.25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8">
        <f t="shared" si="18"/>
        <v>96.2</v>
      </c>
      <c r="U485" s="7">
        <v>25</v>
      </c>
      <c r="V485" s="6">
        <v>25</v>
      </c>
      <c r="W485" s="6">
        <v>0</v>
      </c>
      <c r="X485" s="6" t="s">
        <v>42</v>
      </c>
      <c r="Y485" s="6" t="s">
        <v>35</v>
      </c>
      <c r="Z485" s="6" t="s">
        <v>46</v>
      </c>
      <c r="AA485" s="6" t="s">
        <v>37</v>
      </c>
      <c r="AB485" s="6" t="s">
        <v>149</v>
      </c>
      <c r="AC485" s="6" t="s">
        <v>59</v>
      </c>
      <c r="AD485" s="26" t="s">
        <v>152</v>
      </c>
      <c r="AE485" s="7">
        <v>170</v>
      </c>
      <c r="AF485" s="6">
        <v>240</v>
      </c>
      <c r="AG485" s="10">
        <v>3</v>
      </c>
      <c r="AH485" s="31" t="s">
        <v>54</v>
      </c>
    </row>
    <row r="486" ht="13.9" spans="1:34">
      <c r="A486" s="6">
        <v>3004</v>
      </c>
      <c r="B486" s="7">
        <v>0.3</v>
      </c>
      <c r="C486" s="6">
        <v>0.7</v>
      </c>
      <c r="D486" s="6">
        <v>0.25</v>
      </c>
      <c r="E486" s="6">
        <v>1.25</v>
      </c>
      <c r="F486" s="6">
        <v>1.05</v>
      </c>
      <c r="G486" s="6">
        <v>0</v>
      </c>
      <c r="H486" s="6">
        <v>0.25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8">
        <f t="shared" si="18"/>
        <v>96.2</v>
      </c>
      <c r="U486" s="7">
        <v>25</v>
      </c>
      <c r="V486" s="6">
        <v>25</v>
      </c>
      <c r="W486" s="6">
        <v>0</v>
      </c>
      <c r="X486" s="6" t="s">
        <v>42</v>
      </c>
      <c r="Y486" s="6" t="s">
        <v>35</v>
      </c>
      <c r="Z486" s="6" t="s">
        <v>46</v>
      </c>
      <c r="AA486" s="6" t="s">
        <v>37</v>
      </c>
      <c r="AB486" s="6" t="s">
        <v>149</v>
      </c>
      <c r="AC486" s="6" t="s">
        <v>43</v>
      </c>
      <c r="AD486" s="26" t="s">
        <v>152</v>
      </c>
      <c r="AE486" s="7">
        <v>170</v>
      </c>
      <c r="AF486" s="6">
        <v>240</v>
      </c>
      <c r="AG486" s="10">
        <v>3</v>
      </c>
      <c r="AH486" s="31" t="s">
        <v>54</v>
      </c>
    </row>
    <row r="487" ht="13.9" spans="1:34">
      <c r="A487" s="6">
        <v>3004</v>
      </c>
      <c r="B487" s="7">
        <v>0.3</v>
      </c>
      <c r="C487" s="6">
        <v>0.7</v>
      </c>
      <c r="D487" s="6">
        <v>0.25</v>
      </c>
      <c r="E487" s="6">
        <v>1.25</v>
      </c>
      <c r="F487" s="6">
        <v>1.05</v>
      </c>
      <c r="G487" s="6">
        <v>0</v>
      </c>
      <c r="H487" s="6">
        <v>0.25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8">
        <f t="shared" si="18"/>
        <v>96.2</v>
      </c>
      <c r="U487" s="7">
        <v>25</v>
      </c>
      <c r="V487" s="6">
        <v>25</v>
      </c>
      <c r="W487" s="6">
        <v>0</v>
      </c>
      <c r="X487" s="6" t="s">
        <v>42</v>
      </c>
      <c r="Y487" s="6" t="s">
        <v>35</v>
      </c>
      <c r="Z487" s="6" t="s">
        <v>65</v>
      </c>
      <c r="AA487" s="6" t="s">
        <v>37</v>
      </c>
      <c r="AB487" s="6" t="s">
        <v>149</v>
      </c>
      <c r="AC487" s="6" t="s">
        <v>59</v>
      </c>
      <c r="AD487" s="26" t="s">
        <v>153</v>
      </c>
      <c r="AE487" s="7">
        <v>145</v>
      </c>
      <c r="AF487" s="6">
        <v>217.5</v>
      </c>
      <c r="AG487" s="10">
        <v>3.5</v>
      </c>
      <c r="AH487" s="31" t="s">
        <v>54</v>
      </c>
    </row>
    <row r="488" ht="13.9" spans="1:34">
      <c r="A488" s="6">
        <v>3004</v>
      </c>
      <c r="B488" s="7">
        <v>0.3</v>
      </c>
      <c r="C488" s="6">
        <v>0.7</v>
      </c>
      <c r="D488" s="6">
        <v>0.25</v>
      </c>
      <c r="E488" s="6">
        <v>1.25</v>
      </c>
      <c r="F488" s="6">
        <v>1.05</v>
      </c>
      <c r="G488" s="6">
        <v>0</v>
      </c>
      <c r="H488" s="6">
        <v>0.25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8">
        <f t="shared" si="18"/>
        <v>96.2</v>
      </c>
      <c r="U488" s="7">
        <v>25</v>
      </c>
      <c r="V488" s="6">
        <v>25</v>
      </c>
      <c r="W488" s="6">
        <v>0</v>
      </c>
      <c r="X488" s="6" t="s">
        <v>42</v>
      </c>
      <c r="Y488" s="6" t="s">
        <v>35</v>
      </c>
      <c r="Z488" s="6" t="s">
        <v>65</v>
      </c>
      <c r="AA488" s="6" t="s">
        <v>37</v>
      </c>
      <c r="AB488" s="6" t="s">
        <v>149</v>
      </c>
      <c r="AC488" s="6" t="s">
        <v>43</v>
      </c>
      <c r="AD488" s="26" t="s">
        <v>153</v>
      </c>
      <c r="AE488" s="7">
        <v>145</v>
      </c>
      <c r="AF488" s="6">
        <v>217.5</v>
      </c>
      <c r="AG488" s="10">
        <v>3.5</v>
      </c>
      <c r="AH488" s="31" t="s">
        <v>54</v>
      </c>
    </row>
    <row r="489" ht="13.9" spans="1:34">
      <c r="A489" s="6">
        <v>3004</v>
      </c>
      <c r="B489" s="7">
        <v>0.3</v>
      </c>
      <c r="C489" s="6">
        <v>0.7</v>
      </c>
      <c r="D489" s="6">
        <v>0.25</v>
      </c>
      <c r="E489" s="6">
        <v>1.25</v>
      </c>
      <c r="F489" s="6">
        <v>1.05</v>
      </c>
      <c r="G489" s="6">
        <v>0</v>
      </c>
      <c r="H489" s="6">
        <v>0.25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8">
        <f t="shared" si="18"/>
        <v>96.2</v>
      </c>
      <c r="U489" s="7">
        <v>25</v>
      </c>
      <c r="V489" s="6">
        <v>25</v>
      </c>
      <c r="W489" s="6">
        <v>0</v>
      </c>
      <c r="X489" s="6" t="s">
        <v>53</v>
      </c>
      <c r="Y489" s="6" t="s">
        <v>35</v>
      </c>
      <c r="Z489" s="6" t="s">
        <v>65</v>
      </c>
      <c r="AA489" s="6" t="s">
        <v>37</v>
      </c>
      <c r="AB489" s="6" t="s">
        <v>149</v>
      </c>
      <c r="AC489" s="6" t="s">
        <v>53</v>
      </c>
      <c r="AD489" s="26" t="s">
        <v>153</v>
      </c>
      <c r="AE489" s="7">
        <v>170</v>
      </c>
      <c r="AF489" s="6">
        <v>215</v>
      </c>
      <c r="AG489" s="10">
        <v>13.5</v>
      </c>
      <c r="AH489" s="31" t="s">
        <v>54</v>
      </c>
    </row>
    <row r="490" ht="13.9" spans="1:34">
      <c r="A490" s="6">
        <v>3004</v>
      </c>
      <c r="B490" s="7">
        <v>0.3</v>
      </c>
      <c r="C490" s="6">
        <v>0.7</v>
      </c>
      <c r="D490" s="6">
        <v>0.25</v>
      </c>
      <c r="E490" s="6">
        <v>1.25</v>
      </c>
      <c r="F490" s="6">
        <v>1.05</v>
      </c>
      <c r="G490" s="6">
        <v>0</v>
      </c>
      <c r="H490" s="6">
        <v>0.25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8">
        <f t="shared" si="18"/>
        <v>96.2</v>
      </c>
      <c r="U490" s="7">
        <v>415</v>
      </c>
      <c r="V490" s="6">
        <v>25</v>
      </c>
      <c r="W490" s="6">
        <v>0</v>
      </c>
      <c r="X490" s="6" t="s">
        <v>53</v>
      </c>
      <c r="Y490" s="6" t="s">
        <v>50</v>
      </c>
      <c r="Z490" s="6" t="s">
        <v>37</v>
      </c>
      <c r="AA490" s="6" t="s">
        <v>37</v>
      </c>
      <c r="AB490" s="6" t="s">
        <v>37</v>
      </c>
      <c r="AC490" s="6" t="s">
        <v>53</v>
      </c>
      <c r="AD490" s="26" t="s">
        <v>57</v>
      </c>
      <c r="AE490" s="7">
        <v>69</v>
      </c>
      <c r="AF490" s="6">
        <v>180</v>
      </c>
      <c r="AG490" s="10">
        <v>23.8</v>
      </c>
      <c r="AH490" s="31" t="s">
        <v>54</v>
      </c>
    </row>
    <row r="491" ht="13.9" spans="1:34">
      <c r="A491" s="6">
        <v>3004</v>
      </c>
      <c r="B491" s="7">
        <v>0.3</v>
      </c>
      <c r="C491" s="6">
        <v>0.7</v>
      </c>
      <c r="D491" s="6">
        <v>0.25</v>
      </c>
      <c r="E491" s="6">
        <v>1.25</v>
      </c>
      <c r="F491" s="6">
        <v>1.05</v>
      </c>
      <c r="G491" s="6">
        <v>0</v>
      </c>
      <c r="H491" s="6">
        <v>0.25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8">
        <f t="shared" si="18"/>
        <v>96.2</v>
      </c>
      <c r="U491" s="7">
        <v>415</v>
      </c>
      <c r="V491" s="6">
        <v>25</v>
      </c>
      <c r="W491" s="6">
        <v>0</v>
      </c>
      <c r="X491" s="6" t="s">
        <v>42</v>
      </c>
      <c r="Y491" s="6" t="s">
        <v>50</v>
      </c>
      <c r="Z491" s="6" t="s">
        <v>37</v>
      </c>
      <c r="AA491" s="6" t="s">
        <v>37</v>
      </c>
      <c r="AB491" s="6" t="s">
        <v>37</v>
      </c>
      <c r="AC491" s="6" t="s">
        <v>59</v>
      </c>
      <c r="AD491" s="26" t="s">
        <v>57</v>
      </c>
      <c r="AE491" s="7">
        <v>59</v>
      </c>
      <c r="AF491" s="6">
        <v>175</v>
      </c>
      <c r="AG491" s="10">
        <v>14</v>
      </c>
      <c r="AH491" s="31" t="s">
        <v>54</v>
      </c>
    </row>
    <row r="492" ht="13.9" spans="1:34">
      <c r="A492" s="6">
        <v>3004</v>
      </c>
      <c r="B492" s="7">
        <v>0.3</v>
      </c>
      <c r="C492" s="6">
        <v>0.7</v>
      </c>
      <c r="D492" s="6">
        <v>0.25</v>
      </c>
      <c r="E492" s="6">
        <v>1.25</v>
      </c>
      <c r="F492" s="6">
        <v>1.05</v>
      </c>
      <c r="G492" s="6">
        <v>0</v>
      </c>
      <c r="H492" s="6">
        <v>0.25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8">
        <f t="shared" si="18"/>
        <v>96.2</v>
      </c>
      <c r="U492" s="7">
        <v>415</v>
      </c>
      <c r="V492" s="6">
        <v>25</v>
      </c>
      <c r="W492" s="6">
        <v>0</v>
      </c>
      <c r="X492" s="6" t="s">
        <v>42</v>
      </c>
      <c r="Y492" s="6" t="s">
        <v>50</v>
      </c>
      <c r="Z492" s="6" t="s">
        <v>37</v>
      </c>
      <c r="AA492" s="6" t="s">
        <v>37</v>
      </c>
      <c r="AB492" s="6" t="s">
        <v>37</v>
      </c>
      <c r="AC492" s="6" t="s">
        <v>43</v>
      </c>
      <c r="AD492" s="26" t="s">
        <v>57</v>
      </c>
      <c r="AE492" s="7">
        <v>59</v>
      </c>
      <c r="AF492" s="6">
        <v>175</v>
      </c>
      <c r="AG492" s="10">
        <v>14</v>
      </c>
      <c r="AH492" s="31" t="s">
        <v>54</v>
      </c>
    </row>
    <row r="493" s="3" customFormat="1" ht="13.9" spans="1:34">
      <c r="A493" s="3">
        <v>3004</v>
      </c>
      <c r="B493" s="16">
        <v>0.3</v>
      </c>
      <c r="C493" s="3">
        <v>0.7</v>
      </c>
      <c r="D493" s="3">
        <v>0.25</v>
      </c>
      <c r="E493" s="3">
        <v>1.25</v>
      </c>
      <c r="F493" s="3">
        <v>1.05</v>
      </c>
      <c r="G493" s="3">
        <v>0</v>
      </c>
      <c r="H493" s="3">
        <v>0.25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22">
        <f t="shared" si="18"/>
        <v>96.2</v>
      </c>
      <c r="U493" s="16">
        <v>25</v>
      </c>
      <c r="V493" s="3">
        <v>25</v>
      </c>
      <c r="W493" s="3">
        <v>0</v>
      </c>
      <c r="X493" s="3" t="s">
        <v>42</v>
      </c>
      <c r="Y493" s="3" t="s">
        <v>35</v>
      </c>
      <c r="Z493" s="3" t="s">
        <v>67</v>
      </c>
      <c r="AA493" s="3" t="s">
        <v>37</v>
      </c>
      <c r="AB493" s="3" t="s">
        <v>37</v>
      </c>
      <c r="AC493" s="3" t="s">
        <v>59</v>
      </c>
      <c r="AD493" s="27" t="s">
        <v>68</v>
      </c>
      <c r="AE493" s="16">
        <v>62</v>
      </c>
      <c r="AF493" s="3">
        <v>160</v>
      </c>
      <c r="AG493" s="32">
        <v>7</v>
      </c>
      <c r="AH493" s="33" t="s">
        <v>54</v>
      </c>
    </row>
    <row r="494" ht="13.9" spans="1:34">
      <c r="A494" s="6">
        <v>3105</v>
      </c>
      <c r="B494" s="7">
        <v>0.6</v>
      </c>
      <c r="C494" s="6">
        <v>0.7</v>
      </c>
      <c r="D494" s="6">
        <v>0.3</v>
      </c>
      <c r="E494" s="6">
        <v>0.55</v>
      </c>
      <c r="F494" s="6">
        <v>0.5</v>
      </c>
      <c r="G494" s="6">
        <v>0.2</v>
      </c>
      <c r="H494" s="6">
        <v>0.4</v>
      </c>
      <c r="I494" s="6">
        <v>0</v>
      </c>
      <c r="J494" s="6">
        <v>0.1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8">
        <f t="shared" si="18"/>
        <v>96.65</v>
      </c>
      <c r="U494" s="7">
        <v>25</v>
      </c>
      <c r="V494" s="6">
        <v>25</v>
      </c>
      <c r="W494" s="6">
        <v>0</v>
      </c>
      <c r="X494" s="6" t="s">
        <v>42</v>
      </c>
      <c r="Y494" s="6" t="s">
        <v>35</v>
      </c>
      <c r="Z494" s="6" t="s">
        <v>36</v>
      </c>
      <c r="AA494" s="6" t="s">
        <v>37</v>
      </c>
      <c r="AB494" s="6" t="s">
        <v>37</v>
      </c>
      <c r="AC494" s="6" t="s">
        <v>43</v>
      </c>
      <c r="AD494" s="26" t="s">
        <v>39</v>
      </c>
      <c r="AE494" s="7">
        <v>180</v>
      </c>
      <c r="AF494" s="6">
        <v>205</v>
      </c>
      <c r="AG494" s="34">
        <v>2.3</v>
      </c>
      <c r="AH494" s="31" t="s">
        <v>54</v>
      </c>
    </row>
    <row r="495" ht="13.9" spans="1:34">
      <c r="A495" s="6">
        <v>3105</v>
      </c>
      <c r="B495" s="7">
        <v>0.6</v>
      </c>
      <c r="C495" s="6">
        <v>0.7</v>
      </c>
      <c r="D495" s="6">
        <v>0.3</v>
      </c>
      <c r="E495" s="6">
        <v>0.55</v>
      </c>
      <c r="F495" s="6">
        <v>0.5</v>
      </c>
      <c r="G495" s="6">
        <v>0.2</v>
      </c>
      <c r="H495" s="6">
        <v>0.4</v>
      </c>
      <c r="I495" s="6">
        <v>0</v>
      </c>
      <c r="J495" s="6">
        <v>0.1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8">
        <f t="shared" si="18"/>
        <v>96.65</v>
      </c>
      <c r="U495" s="7">
        <v>25</v>
      </c>
      <c r="V495" s="6">
        <v>25</v>
      </c>
      <c r="W495" s="6">
        <v>0</v>
      </c>
      <c r="X495" s="6" t="s">
        <v>42</v>
      </c>
      <c r="Y495" s="6" t="s">
        <v>35</v>
      </c>
      <c r="Z495" s="6" t="s">
        <v>55</v>
      </c>
      <c r="AA495" s="6" t="s">
        <v>37</v>
      </c>
      <c r="AB495" s="6" t="s">
        <v>37</v>
      </c>
      <c r="AC495" s="6" t="s">
        <v>43</v>
      </c>
      <c r="AD495" s="26" t="s">
        <v>56</v>
      </c>
      <c r="AE495" s="7">
        <v>158</v>
      </c>
      <c r="AF495" s="6">
        <v>190</v>
      </c>
      <c r="AG495" s="34">
        <v>2.8</v>
      </c>
      <c r="AH495" s="31" t="s">
        <v>54</v>
      </c>
    </row>
    <row r="496" ht="13.9" spans="1:34">
      <c r="A496" s="6">
        <v>3105</v>
      </c>
      <c r="B496" s="7">
        <v>0.6</v>
      </c>
      <c r="C496" s="6">
        <v>0.7</v>
      </c>
      <c r="D496" s="6">
        <v>0.3</v>
      </c>
      <c r="E496" s="6">
        <v>0.55</v>
      </c>
      <c r="F496" s="6">
        <v>0.5</v>
      </c>
      <c r="G496" s="6">
        <v>0.2</v>
      </c>
      <c r="H496" s="6">
        <v>0.4</v>
      </c>
      <c r="I496" s="6">
        <v>0</v>
      </c>
      <c r="J496" s="6">
        <v>0.1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8">
        <f t="shared" si="18"/>
        <v>96.65</v>
      </c>
      <c r="U496" s="7">
        <v>25</v>
      </c>
      <c r="V496" s="6">
        <v>25</v>
      </c>
      <c r="W496" s="6">
        <v>0</v>
      </c>
      <c r="X496" s="6" t="s">
        <v>42</v>
      </c>
      <c r="Y496" s="6" t="s">
        <v>35</v>
      </c>
      <c r="Z496" s="6" t="s">
        <v>46</v>
      </c>
      <c r="AA496" s="6" t="s">
        <v>37</v>
      </c>
      <c r="AB496" s="6" t="s">
        <v>37</v>
      </c>
      <c r="AC496" s="6" t="s">
        <v>43</v>
      </c>
      <c r="AD496" s="26" t="s">
        <v>47</v>
      </c>
      <c r="AE496" s="7">
        <v>138</v>
      </c>
      <c r="AF496" s="6">
        <v>173</v>
      </c>
      <c r="AG496" s="34">
        <v>3.3</v>
      </c>
      <c r="AH496" s="31" t="s">
        <v>54</v>
      </c>
    </row>
    <row r="497" ht="13.9" spans="1:34">
      <c r="A497" s="6">
        <v>3105</v>
      </c>
      <c r="B497" s="7">
        <v>0.6</v>
      </c>
      <c r="C497" s="6">
        <v>0.7</v>
      </c>
      <c r="D497" s="6">
        <v>0.3</v>
      </c>
      <c r="E497" s="6">
        <v>0.55</v>
      </c>
      <c r="F497" s="6">
        <v>0.5</v>
      </c>
      <c r="G497" s="6">
        <v>0.2</v>
      </c>
      <c r="H497" s="6">
        <v>0.4</v>
      </c>
      <c r="I497" s="6">
        <v>0</v>
      </c>
      <c r="J497" s="6">
        <v>0.1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8">
        <f t="shared" si="18"/>
        <v>96.65</v>
      </c>
      <c r="U497" s="7">
        <v>25</v>
      </c>
      <c r="V497" s="6">
        <v>25</v>
      </c>
      <c r="W497" s="6">
        <v>0</v>
      </c>
      <c r="X497" s="6" t="s">
        <v>42</v>
      </c>
      <c r="Y497" s="6" t="s">
        <v>35</v>
      </c>
      <c r="Z497" s="6" t="s">
        <v>65</v>
      </c>
      <c r="AA497" s="6" t="s">
        <v>37</v>
      </c>
      <c r="AB497" s="6" t="s">
        <v>37</v>
      </c>
      <c r="AC497" s="6" t="s">
        <v>43</v>
      </c>
      <c r="AD497" s="26" t="s">
        <v>66</v>
      </c>
      <c r="AE497" s="7">
        <v>118</v>
      </c>
      <c r="AF497" s="6">
        <v>153</v>
      </c>
      <c r="AG497" s="34">
        <v>4.5</v>
      </c>
      <c r="AH497" s="31" t="s">
        <v>54</v>
      </c>
    </row>
    <row r="498" s="3" customFormat="1" ht="13.9" spans="1:34">
      <c r="A498" s="3">
        <v>3105</v>
      </c>
      <c r="B498" s="16">
        <v>0.6</v>
      </c>
      <c r="C498" s="3">
        <v>0.7</v>
      </c>
      <c r="D498" s="3">
        <v>0.3</v>
      </c>
      <c r="E498" s="3">
        <v>0.55</v>
      </c>
      <c r="F498" s="3">
        <v>0.5</v>
      </c>
      <c r="G498" s="3">
        <v>0.2</v>
      </c>
      <c r="H498" s="3">
        <v>0.4</v>
      </c>
      <c r="I498" s="3">
        <v>0</v>
      </c>
      <c r="J498" s="3">
        <v>0.1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22">
        <f t="shared" ref="T498:T561" si="19">100-SUM(B498:S498)</f>
        <v>96.65</v>
      </c>
      <c r="U498" s="16">
        <v>345</v>
      </c>
      <c r="V498" s="3">
        <v>25</v>
      </c>
      <c r="W498" s="3">
        <v>0</v>
      </c>
      <c r="X498" s="3" t="s">
        <v>42</v>
      </c>
      <c r="Y498" s="3" t="s">
        <v>50</v>
      </c>
      <c r="Z498" s="3" t="s">
        <v>37</v>
      </c>
      <c r="AA498" s="3" t="s">
        <v>37</v>
      </c>
      <c r="AB498" s="3" t="s">
        <v>37</v>
      </c>
      <c r="AC498" s="3" t="s">
        <v>43</v>
      </c>
      <c r="AD498" s="27" t="s">
        <v>57</v>
      </c>
      <c r="AE498" s="16">
        <v>45</v>
      </c>
      <c r="AF498" s="3">
        <v>118</v>
      </c>
      <c r="AG498" s="38">
        <v>22</v>
      </c>
      <c r="AH498" s="33" t="s">
        <v>54</v>
      </c>
    </row>
    <row r="499" ht="13.9" spans="1:34">
      <c r="A499" s="6">
        <v>4032</v>
      </c>
      <c r="B499" s="7">
        <v>12.25</v>
      </c>
      <c r="C499" s="6">
        <v>1</v>
      </c>
      <c r="D499" s="6">
        <v>0.9</v>
      </c>
      <c r="E499" s="6">
        <v>0</v>
      </c>
      <c r="F499" s="6">
        <v>1.05</v>
      </c>
      <c r="G499" s="6">
        <v>0.1</v>
      </c>
      <c r="H499" s="6">
        <v>0.25</v>
      </c>
      <c r="I499" s="6">
        <v>0</v>
      </c>
      <c r="J499" s="6">
        <v>0</v>
      </c>
      <c r="K499" s="6">
        <v>0</v>
      </c>
      <c r="L499" s="6">
        <v>0</v>
      </c>
      <c r="M499" s="6">
        <v>0.9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8">
        <f t="shared" si="19"/>
        <v>83.55</v>
      </c>
      <c r="U499" s="7">
        <v>510</v>
      </c>
      <c r="V499" s="6">
        <v>170</v>
      </c>
      <c r="W499" s="36" t="s">
        <v>154</v>
      </c>
      <c r="X499" s="6" t="s">
        <v>42</v>
      </c>
      <c r="Y499" s="6" t="s">
        <v>73</v>
      </c>
      <c r="Z499" s="6" t="s">
        <v>37</v>
      </c>
      <c r="AA499" s="6" t="s">
        <v>74</v>
      </c>
      <c r="AB499" s="6" t="s">
        <v>37</v>
      </c>
      <c r="AC499" s="6" t="s">
        <v>59</v>
      </c>
      <c r="AD499" s="26" t="s">
        <v>77</v>
      </c>
      <c r="AE499" s="7">
        <v>315</v>
      </c>
      <c r="AF499" s="6">
        <v>380</v>
      </c>
      <c r="AG499" s="6">
        <v>9</v>
      </c>
      <c r="AH499" s="31" t="s">
        <v>54</v>
      </c>
    </row>
    <row r="500" s="3" customFormat="1" ht="13.9" spans="1:34">
      <c r="A500" s="3">
        <v>4032</v>
      </c>
      <c r="B500" s="16">
        <v>12.25</v>
      </c>
      <c r="C500" s="3">
        <v>1</v>
      </c>
      <c r="D500" s="3">
        <v>0.9</v>
      </c>
      <c r="E500" s="3">
        <v>0</v>
      </c>
      <c r="F500" s="3">
        <v>1.05</v>
      </c>
      <c r="G500" s="3">
        <v>0.1</v>
      </c>
      <c r="H500" s="3">
        <v>0.25</v>
      </c>
      <c r="I500" s="3">
        <v>0</v>
      </c>
      <c r="J500" s="3">
        <v>0</v>
      </c>
      <c r="K500" s="3">
        <v>0</v>
      </c>
      <c r="L500" s="3">
        <v>0</v>
      </c>
      <c r="M500" s="3">
        <v>0.9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22">
        <f t="shared" si="19"/>
        <v>83.55</v>
      </c>
      <c r="U500" s="16">
        <v>510</v>
      </c>
      <c r="V500" s="3">
        <v>175</v>
      </c>
      <c r="W500" s="47" t="s">
        <v>154</v>
      </c>
      <c r="X500" s="3" t="s">
        <v>42</v>
      </c>
      <c r="Y500" s="3" t="s">
        <v>73</v>
      </c>
      <c r="Z500" s="3" t="s">
        <v>37</v>
      </c>
      <c r="AA500" s="3" t="s">
        <v>74</v>
      </c>
      <c r="AB500" s="3" t="s">
        <v>37</v>
      </c>
      <c r="AC500" s="3" t="s">
        <v>59</v>
      </c>
      <c r="AD500" s="27" t="s">
        <v>77</v>
      </c>
      <c r="AE500" s="16">
        <v>315</v>
      </c>
      <c r="AF500" s="3">
        <v>380</v>
      </c>
      <c r="AG500" s="3">
        <v>9</v>
      </c>
      <c r="AH500" s="33" t="s">
        <v>54</v>
      </c>
    </row>
    <row r="501" ht="13.9" spans="1:34">
      <c r="A501" s="6">
        <v>4043</v>
      </c>
      <c r="B501" s="7">
        <v>5.25</v>
      </c>
      <c r="C501" s="6">
        <v>0.8</v>
      </c>
      <c r="D501" s="6">
        <v>0.3</v>
      </c>
      <c r="E501" s="6">
        <v>0.05</v>
      </c>
      <c r="F501" s="6">
        <v>0.05</v>
      </c>
      <c r="G501" s="6">
        <v>0</v>
      </c>
      <c r="H501" s="6">
        <v>0.1</v>
      </c>
      <c r="I501" s="6">
        <v>0</v>
      </c>
      <c r="J501" s="6">
        <v>0.2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0.0004</v>
      </c>
      <c r="S501" s="6">
        <v>0</v>
      </c>
      <c r="T501" s="8">
        <f t="shared" si="19"/>
        <v>93.2496</v>
      </c>
      <c r="U501" s="7">
        <v>25</v>
      </c>
      <c r="V501" s="6">
        <v>25</v>
      </c>
      <c r="W501" s="6">
        <v>0</v>
      </c>
      <c r="X501" s="6" t="s">
        <v>34</v>
      </c>
      <c r="Y501" s="6" t="s">
        <v>35</v>
      </c>
      <c r="Z501" s="6" t="s">
        <v>36</v>
      </c>
      <c r="AA501" s="6" t="s">
        <v>37</v>
      </c>
      <c r="AB501" s="6" t="s">
        <v>37</v>
      </c>
      <c r="AC501" s="6" t="s">
        <v>38</v>
      </c>
      <c r="AD501" s="26" t="s">
        <v>39</v>
      </c>
      <c r="AE501" s="7">
        <v>270</v>
      </c>
      <c r="AF501" s="6">
        <v>285</v>
      </c>
      <c r="AG501" s="34">
        <v>0.5</v>
      </c>
      <c r="AH501" s="31" t="s">
        <v>54</v>
      </c>
    </row>
    <row r="502" ht="13.9" spans="1:34">
      <c r="A502" s="6">
        <v>4043</v>
      </c>
      <c r="B502" s="7">
        <v>5.25</v>
      </c>
      <c r="C502" s="6">
        <v>0.8</v>
      </c>
      <c r="D502" s="6">
        <v>0.3</v>
      </c>
      <c r="E502" s="6">
        <v>0.05</v>
      </c>
      <c r="F502" s="6">
        <v>0.05</v>
      </c>
      <c r="G502" s="6">
        <v>0</v>
      </c>
      <c r="H502" s="6">
        <v>0.1</v>
      </c>
      <c r="I502" s="6">
        <v>0</v>
      </c>
      <c r="J502" s="6">
        <v>0.2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0.0004</v>
      </c>
      <c r="S502" s="6">
        <v>0</v>
      </c>
      <c r="T502" s="8">
        <f t="shared" si="19"/>
        <v>93.2496</v>
      </c>
      <c r="U502" s="7">
        <v>25</v>
      </c>
      <c r="V502" s="6">
        <v>25</v>
      </c>
      <c r="W502" s="6">
        <v>0</v>
      </c>
      <c r="X502" s="6" t="s">
        <v>34</v>
      </c>
      <c r="Y502" s="6" t="s">
        <v>35</v>
      </c>
      <c r="Z502" s="6" t="s">
        <v>55</v>
      </c>
      <c r="AA502" s="6" t="s">
        <v>37</v>
      </c>
      <c r="AB502" s="6" t="s">
        <v>37</v>
      </c>
      <c r="AC502" s="6" t="s">
        <v>38</v>
      </c>
      <c r="AD502" s="26" t="s">
        <v>56</v>
      </c>
      <c r="AE502" s="7">
        <v>183</v>
      </c>
      <c r="AF502" s="6">
        <v>203</v>
      </c>
      <c r="AG502" s="34">
        <v>1.1</v>
      </c>
      <c r="AH502" s="31" t="s">
        <v>54</v>
      </c>
    </row>
    <row r="503" ht="13.9" spans="1:34">
      <c r="A503" s="6">
        <v>4043</v>
      </c>
      <c r="B503" s="7">
        <v>5.25</v>
      </c>
      <c r="C503" s="6">
        <v>0.8</v>
      </c>
      <c r="D503" s="6">
        <v>0.3</v>
      </c>
      <c r="E503" s="6">
        <v>0.05</v>
      </c>
      <c r="F503" s="6">
        <v>0.05</v>
      </c>
      <c r="G503" s="6">
        <v>0</v>
      </c>
      <c r="H503" s="6">
        <v>0.1</v>
      </c>
      <c r="I503" s="6">
        <v>0</v>
      </c>
      <c r="J503" s="6">
        <v>0.2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0.0004</v>
      </c>
      <c r="S503" s="6">
        <v>0</v>
      </c>
      <c r="T503" s="8">
        <f t="shared" si="19"/>
        <v>93.2496</v>
      </c>
      <c r="U503" s="7">
        <v>25</v>
      </c>
      <c r="V503" s="6">
        <v>25</v>
      </c>
      <c r="W503" s="6">
        <v>0</v>
      </c>
      <c r="X503" s="6" t="s">
        <v>34</v>
      </c>
      <c r="Y503" s="6" t="s">
        <v>35</v>
      </c>
      <c r="Z503" s="6" t="s">
        <v>46</v>
      </c>
      <c r="AA503" s="6" t="s">
        <v>37</v>
      </c>
      <c r="AB503" s="6" t="s">
        <v>37</v>
      </c>
      <c r="AC503" s="6" t="s">
        <v>38</v>
      </c>
      <c r="AD503" s="26" t="s">
        <v>47</v>
      </c>
      <c r="AE503" s="7">
        <v>165</v>
      </c>
      <c r="AF503" s="6">
        <v>170</v>
      </c>
      <c r="AG503" s="34">
        <v>1.3</v>
      </c>
      <c r="AH503" s="31" t="s">
        <v>54</v>
      </c>
    </row>
    <row r="504" ht="13.9" spans="1:34">
      <c r="A504" s="6">
        <v>4043</v>
      </c>
      <c r="B504" s="7">
        <v>5.25</v>
      </c>
      <c r="C504" s="6">
        <v>0.8</v>
      </c>
      <c r="D504" s="6">
        <v>0.3</v>
      </c>
      <c r="E504" s="6">
        <v>0.05</v>
      </c>
      <c r="F504" s="6">
        <v>0.05</v>
      </c>
      <c r="G504" s="6">
        <v>0</v>
      </c>
      <c r="H504" s="6">
        <v>0.1</v>
      </c>
      <c r="I504" s="6">
        <v>0</v>
      </c>
      <c r="J504" s="6">
        <v>0.2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0.0004</v>
      </c>
      <c r="S504" s="6">
        <v>0</v>
      </c>
      <c r="T504" s="8">
        <f t="shared" si="19"/>
        <v>93.2496</v>
      </c>
      <c r="U504" s="7">
        <v>350</v>
      </c>
      <c r="V504" s="6">
        <v>25</v>
      </c>
      <c r="W504" s="6">
        <v>0</v>
      </c>
      <c r="X504" s="6" t="s">
        <v>34</v>
      </c>
      <c r="Y504" s="6" t="s">
        <v>50</v>
      </c>
      <c r="Z504" s="6" t="s">
        <v>37</v>
      </c>
      <c r="AA504" s="6" t="s">
        <v>37</v>
      </c>
      <c r="AB504" s="6" t="s">
        <v>37</v>
      </c>
      <c r="AC504" s="6" t="s">
        <v>38</v>
      </c>
      <c r="AD504" s="26" t="s">
        <v>57</v>
      </c>
      <c r="AE504" s="7">
        <v>56</v>
      </c>
      <c r="AF504" s="6">
        <v>125</v>
      </c>
      <c r="AG504" s="34">
        <v>26.8</v>
      </c>
      <c r="AH504" s="31" t="s">
        <v>54</v>
      </c>
    </row>
    <row r="505" s="3" customFormat="1" ht="13.9" spans="1:34">
      <c r="A505" s="3">
        <v>4043</v>
      </c>
      <c r="B505" s="16">
        <v>4.95</v>
      </c>
      <c r="C505" s="3">
        <v>0.31</v>
      </c>
      <c r="D505" s="3">
        <v>0.045</v>
      </c>
      <c r="E505" s="3">
        <v>0.02</v>
      </c>
      <c r="F505" s="3">
        <v>0</v>
      </c>
      <c r="G505" s="3">
        <v>0</v>
      </c>
      <c r="H505" s="3">
        <v>0.03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22">
        <f t="shared" si="19"/>
        <v>94.645</v>
      </c>
      <c r="U505" s="16">
        <v>277</v>
      </c>
      <c r="V505" s="3">
        <v>25</v>
      </c>
      <c r="W505" s="3">
        <v>0</v>
      </c>
      <c r="X505" s="3" t="s">
        <v>96</v>
      </c>
      <c r="Y505" s="3" t="s">
        <v>50</v>
      </c>
      <c r="Z505" s="3" t="s">
        <v>37</v>
      </c>
      <c r="AA505" s="3" t="s">
        <v>37</v>
      </c>
      <c r="AB505" s="3" t="s">
        <v>37</v>
      </c>
      <c r="AC505" s="3" t="s">
        <v>69</v>
      </c>
      <c r="AD505" s="27" t="s">
        <v>57</v>
      </c>
      <c r="AE505" s="16">
        <v>120</v>
      </c>
      <c r="AF505" s="3">
        <v>245</v>
      </c>
      <c r="AG505" s="38">
        <v>19</v>
      </c>
      <c r="AH505" s="33" t="s">
        <v>155</v>
      </c>
    </row>
    <row r="506" ht="13.9" spans="1:34">
      <c r="A506" s="6">
        <v>5005</v>
      </c>
      <c r="B506" s="7">
        <v>0.3</v>
      </c>
      <c r="C506" s="6">
        <v>0.7</v>
      </c>
      <c r="D506" s="6">
        <v>0.2</v>
      </c>
      <c r="E506" s="6">
        <v>0.2</v>
      </c>
      <c r="F506" s="6">
        <v>0.8</v>
      </c>
      <c r="G506" s="6">
        <v>0.1</v>
      </c>
      <c r="H506" s="6">
        <v>0.25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8">
        <f t="shared" si="19"/>
        <v>97.45</v>
      </c>
      <c r="U506" s="7">
        <v>25</v>
      </c>
      <c r="V506" s="6">
        <v>25</v>
      </c>
      <c r="W506" s="6">
        <v>0</v>
      </c>
      <c r="X506" s="6" t="s">
        <v>42</v>
      </c>
      <c r="Y506" s="6" t="s">
        <v>35</v>
      </c>
      <c r="Z506" s="6" t="s">
        <v>36</v>
      </c>
      <c r="AA506" s="6" t="s">
        <v>37</v>
      </c>
      <c r="AB506" s="6" t="s">
        <v>37</v>
      </c>
      <c r="AC506" s="6" t="s">
        <v>43</v>
      </c>
      <c r="AD506" s="26" t="s">
        <v>39</v>
      </c>
      <c r="AE506" s="7">
        <v>193</v>
      </c>
      <c r="AF506" s="6">
        <v>200</v>
      </c>
      <c r="AG506" s="10">
        <v>4</v>
      </c>
      <c r="AH506" s="31" t="s">
        <v>54</v>
      </c>
    </row>
    <row r="507" ht="13.9" spans="1:34">
      <c r="A507" s="6">
        <v>5005</v>
      </c>
      <c r="B507" s="7">
        <v>0.3</v>
      </c>
      <c r="C507" s="6">
        <v>0.7</v>
      </c>
      <c r="D507" s="6">
        <v>0.2</v>
      </c>
      <c r="E507" s="6">
        <v>0.2</v>
      </c>
      <c r="F507" s="6">
        <v>0.8</v>
      </c>
      <c r="G507" s="6">
        <v>0.1</v>
      </c>
      <c r="H507" s="6">
        <v>0.25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8">
        <f t="shared" si="19"/>
        <v>97.45</v>
      </c>
      <c r="U507" s="7">
        <v>25</v>
      </c>
      <c r="V507" s="6">
        <v>25</v>
      </c>
      <c r="W507" s="6">
        <v>0</v>
      </c>
      <c r="X507" s="6" t="s">
        <v>42</v>
      </c>
      <c r="Y507" s="6" t="s">
        <v>35</v>
      </c>
      <c r="Z507" s="6" t="s">
        <v>36</v>
      </c>
      <c r="AA507" s="6" t="s">
        <v>37</v>
      </c>
      <c r="AB507" s="6" t="s">
        <v>149</v>
      </c>
      <c r="AC507" s="6" t="s">
        <v>43</v>
      </c>
      <c r="AD507" s="26" t="s">
        <v>150</v>
      </c>
      <c r="AE507" s="7">
        <v>186</v>
      </c>
      <c r="AF507" s="6">
        <v>200</v>
      </c>
      <c r="AG507" s="10">
        <v>5</v>
      </c>
      <c r="AH507" s="31" t="s">
        <v>54</v>
      </c>
    </row>
    <row r="508" ht="13.9" spans="1:34">
      <c r="A508" s="6">
        <v>5005</v>
      </c>
      <c r="B508" s="7">
        <v>0.3</v>
      </c>
      <c r="C508" s="6">
        <v>0.7</v>
      </c>
      <c r="D508" s="6">
        <v>0.2</v>
      </c>
      <c r="E508" s="6">
        <v>0.2</v>
      </c>
      <c r="F508" s="6">
        <v>0.8</v>
      </c>
      <c r="G508" s="6">
        <v>0.1</v>
      </c>
      <c r="H508" s="6">
        <v>0.25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8">
        <f t="shared" si="19"/>
        <v>97.45</v>
      </c>
      <c r="U508" s="7">
        <v>25</v>
      </c>
      <c r="V508" s="6">
        <v>25</v>
      </c>
      <c r="W508" s="6">
        <v>0</v>
      </c>
      <c r="X508" s="6" t="s">
        <v>42</v>
      </c>
      <c r="Y508" s="6" t="s">
        <v>35</v>
      </c>
      <c r="Z508" s="6" t="s">
        <v>36</v>
      </c>
      <c r="AA508" s="6" t="s">
        <v>37</v>
      </c>
      <c r="AB508" s="6" t="s">
        <v>37</v>
      </c>
      <c r="AC508" s="6" t="s">
        <v>59</v>
      </c>
      <c r="AD508" s="26" t="s">
        <v>39</v>
      </c>
      <c r="AE508" s="7" t="s">
        <v>40</v>
      </c>
      <c r="AF508" s="6">
        <v>185</v>
      </c>
      <c r="AG508" s="10">
        <v>2</v>
      </c>
      <c r="AH508" s="31" t="s">
        <v>54</v>
      </c>
    </row>
    <row r="509" ht="13.9" spans="1:34">
      <c r="A509" s="6">
        <v>5005</v>
      </c>
      <c r="B509" s="7">
        <v>0.3</v>
      </c>
      <c r="C509" s="6">
        <v>0.7</v>
      </c>
      <c r="D509" s="6">
        <v>0.2</v>
      </c>
      <c r="E509" s="6">
        <v>0.2</v>
      </c>
      <c r="F509" s="6">
        <v>0.8</v>
      </c>
      <c r="G509" s="6">
        <v>0.1</v>
      </c>
      <c r="H509" s="6">
        <v>0.25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8">
        <f t="shared" si="19"/>
        <v>97.45</v>
      </c>
      <c r="U509" s="7">
        <v>25</v>
      </c>
      <c r="V509" s="6">
        <v>25</v>
      </c>
      <c r="W509" s="6">
        <v>0</v>
      </c>
      <c r="X509" s="6" t="s">
        <v>42</v>
      </c>
      <c r="Y509" s="6" t="s">
        <v>35</v>
      </c>
      <c r="Z509" s="6" t="s">
        <v>55</v>
      </c>
      <c r="AA509" s="6" t="s">
        <v>37</v>
      </c>
      <c r="AB509" s="6" t="s">
        <v>37</v>
      </c>
      <c r="AC509" s="6" t="s">
        <v>59</v>
      </c>
      <c r="AD509" s="26" t="s">
        <v>56</v>
      </c>
      <c r="AE509" s="7">
        <v>135</v>
      </c>
      <c r="AF509" s="6">
        <v>185</v>
      </c>
      <c r="AG509" s="10">
        <v>2</v>
      </c>
      <c r="AH509" s="31" t="s">
        <v>54</v>
      </c>
    </row>
    <row r="510" ht="13.9" spans="1:34">
      <c r="A510" s="6">
        <v>5005</v>
      </c>
      <c r="B510" s="7">
        <v>0.3</v>
      </c>
      <c r="C510" s="6">
        <v>0.7</v>
      </c>
      <c r="D510" s="6">
        <v>0.2</v>
      </c>
      <c r="E510" s="6">
        <v>0.2</v>
      </c>
      <c r="F510" s="6">
        <v>0.8</v>
      </c>
      <c r="G510" s="6">
        <v>0.1</v>
      </c>
      <c r="H510" s="6">
        <v>0.25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8">
        <f t="shared" si="19"/>
        <v>97.45</v>
      </c>
      <c r="U510" s="7">
        <v>25</v>
      </c>
      <c r="V510" s="6">
        <v>25</v>
      </c>
      <c r="W510" s="6">
        <v>0</v>
      </c>
      <c r="X510" s="6" t="s">
        <v>42</v>
      </c>
      <c r="Y510" s="6" t="s">
        <v>35</v>
      </c>
      <c r="Z510" s="6" t="s">
        <v>36</v>
      </c>
      <c r="AA510" s="6" t="s">
        <v>37</v>
      </c>
      <c r="AB510" s="6" t="s">
        <v>149</v>
      </c>
      <c r="AC510" s="6" t="s">
        <v>59</v>
      </c>
      <c r="AD510" s="26" t="s">
        <v>150</v>
      </c>
      <c r="AE510" s="7" t="s">
        <v>40</v>
      </c>
      <c r="AF510" s="6">
        <v>180</v>
      </c>
      <c r="AG510" s="10">
        <v>2.5</v>
      </c>
      <c r="AH510" s="31" t="s">
        <v>54</v>
      </c>
    </row>
    <row r="511" ht="13.9" spans="1:34">
      <c r="A511" s="6">
        <v>5005</v>
      </c>
      <c r="B511" s="7">
        <v>0.3</v>
      </c>
      <c r="C511" s="6">
        <v>0.7</v>
      </c>
      <c r="D511" s="6">
        <v>0.2</v>
      </c>
      <c r="E511" s="6">
        <v>0.2</v>
      </c>
      <c r="F511" s="6">
        <v>0.8</v>
      </c>
      <c r="G511" s="6">
        <v>0.1</v>
      </c>
      <c r="H511" s="6">
        <v>0.25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8">
        <f t="shared" si="19"/>
        <v>97.45</v>
      </c>
      <c r="U511" s="7">
        <v>25</v>
      </c>
      <c r="V511" s="6">
        <v>25</v>
      </c>
      <c r="W511" s="6">
        <v>0</v>
      </c>
      <c r="X511" s="6" t="s">
        <v>42</v>
      </c>
      <c r="Y511" s="6" t="s">
        <v>35</v>
      </c>
      <c r="Z511" s="6" t="s">
        <v>55</v>
      </c>
      <c r="AA511" s="6" t="s">
        <v>37</v>
      </c>
      <c r="AB511" s="6" t="s">
        <v>149</v>
      </c>
      <c r="AC511" s="6" t="s">
        <v>59</v>
      </c>
      <c r="AD511" s="26" t="s">
        <v>151</v>
      </c>
      <c r="AE511" s="7">
        <v>125</v>
      </c>
      <c r="AF511" s="6">
        <v>180</v>
      </c>
      <c r="AG511" s="10">
        <v>2.5</v>
      </c>
      <c r="AH511" s="31" t="s">
        <v>54</v>
      </c>
    </row>
    <row r="512" ht="13.9" spans="1:34">
      <c r="A512" s="6">
        <v>5005</v>
      </c>
      <c r="B512" s="7">
        <v>0.3</v>
      </c>
      <c r="C512" s="6">
        <v>0.7</v>
      </c>
      <c r="D512" s="6">
        <v>0.2</v>
      </c>
      <c r="E512" s="6">
        <v>0.2</v>
      </c>
      <c r="F512" s="6">
        <v>0.8</v>
      </c>
      <c r="G512" s="6">
        <v>0.1</v>
      </c>
      <c r="H512" s="6">
        <v>0.25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8">
        <f t="shared" si="19"/>
        <v>97.45</v>
      </c>
      <c r="U512" s="7">
        <v>25</v>
      </c>
      <c r="V512" s="6">
        <v>25</v>
      </c>
      <c r="W512" s="6">
        <v>0</v>
      </c>
      <c r="X512" s="6" t="s">
        <v>42</v>
      </c>
      <c r="Y512" s="6" t="s">
        <v>35</v>
      </c>
      <c r="Z512" s="6" t="s">
        <v>55</v>
      </c>
      <c r="AA512" s="6" t="s">
        <v>37</v>
      </c>
      <c r="AB512" s="6" t="s">
        <v>37</v>
      </c>
      <c r="AC512" s="6" t="s">
        <v>43</v>
      </c>
      <c r="AD512" s="26" t="s">
        <v>56</v>
      </c>
      <c r="AE512" s="7">
        <v>172</v>
      </c>
      <c r="AF512" s="6">
        <v>179</v>
      </c>
      <c r="AG512" s="10">
        <v>5</v>
      </c>
      <c r="AH512" s="31" t="s">
        <v>54</v>
      </c>
    </row>
    <row r="513" ht="13.9" spans="1:34">
      <c r="A513" s="6">
        <v>5005</v>
      </c>
      <c r="B513" s="7">
        <v>0.3</v>
      </c>
      <c r="C513" s="6">
        <v>0.7</v>
      </c>
      <c r="D513" s="6">
        <v>0.2</v>
      </c>
      <c r="E513" s="6">
        <v>0.2</v>
      </c>
      <c r="F513" s="6">
        <v>0.8</v>
      </c>
      <c r="G513" s="6">
        <v>0.1</v>
      </c>
      <c r="H513" s="6">
        <v>0.25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8">
        <f t="shared" si="19"/>
        <v>97.45</v>
      </c>
      <c r="U513" s="7">
        <v>25</v>
      </c>
      <c r="V513" s="6">
        <v>25</v>
      </c>
      <c r="W513" s="6">
        <v>0</v>
      </c>
      <c r="X513" s="6" t="s">
        <v>42</v>
      </c>
      <c r="Y513" s="6" t="s">
        <v>35</v>
      </c>
      <c r="Z513" s="6" t="s">
        <v>55</v>
      </c>
      <c r="AA513" s="6" t="s">
        <v>37</v>
      </c>
      <c r="AB513" s="6" t="s">
        <v>149</v>
      </c>
      <c r="AC513" s="6" t="s">
        <v>43</v>
      </c>
      <c r="AD513" s="26" t="s">
        <v>151</v>
      </c>
      <c r="AE513" s="7">
        <v>165</v>
      </c>
      <c r="AF513" s="6">
        <v>179</v>
      </c>
      <c r="AG513" s="10">
        <v>6</v>
      </c>
      <c r="AH513" s="31" t="s">
        <v>54</v>
      </c>
    </row>
    <row r="514" ht="13.9" spans="1:34">
      <c r="A514" s="6">
        <v>5005</v>
      </c>
      <c r="B514" s="7">
        <v>0.3</v>
      </c>
      <c r="C514" s="6">
        <v>0.7</v>
      </c>
      <c r="D514" s="6">
        <v>0.2</v>
      </c>
      <c r="E514" s="6">
        <v>0.2</v>
      </c>
      <c r="F514" s="6">
        <v>0.8</v>
      </c>
      <c r="G514" s="6">
        <v>0.1</v>
      </c>
      <c r="H514" s="6">
        <v>0.25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8">
        <f t="shared" si="19"/>
        <v>97.45</v>
      </c>
      <c r="U514" s="7">
        <v>25</v>
      </c>
      <c r="V514" s="6">
        <v>25</v>
      </c>
      <c r="W514" s="6">
        <v>0</v>
      </c>
      <c r="X514" s="6" t="s">
        <v>42</v>
      </c>
      <c r="Y514" s="6" t="s">
        <v>35</v>
      </c>
      <c r="Z514" s="6" t="s">
        <v>46</v>
      </c>
      <c r="AA514" s="6" t="s">
        <v>37</v>
      </c>
      <c r="AB514" s="6" t="s">
        <v>37</v>
      </c>
      <c r="AC514" s="6" t="s">
        <v>59</v>
      </c>
      <c r="AD514" s="26" t="s">
        <v>47</v>
      </c>
      <c r="AE514" s="7">
        <v>115</v>
      </c>
      <c r="AF514" s="6">
        <v>165</v>
      </c>
      <c r="AG514" s="10">
        <v>4.5</v>
      </c>
      <c r="AH514" s="31" t="s">
        <v>54</v>
      </c>
    </row>
    <row r="515" ht="13.9" spans="1:34">
      <c r="A515" s="6">
        <v>5005</v>
      </c>
      <c r="B515" s="7">
        <v>0.3</v>
      </c>
      <c r="C515" s="6">
        <v>0.7</v>
      </c>
      <c r="D515" s="6">
        <v>0.2</v>
      </c>
      <c r="E515" s="6">
        <v>0.2</v>
      </c>
      <c r="F515" s="6">
        <v>0.8</v>
      </c>
      <c r="G515" s="6">
        <v>0.1</v>
      </c>
      <c r="H515" s="6">
        <v>0.25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8">
        <f t="shared" si="19"/>
        <v>97.45</v>
      </c>
      <c r="U515" s="7">
        <v>25</v>
      </c>
      <c r="V515" s="6">
        <v>25</v>
      </c>
      <c r="W515" s="6">
        <v>0</v>
      </c>
      <c r="X515" s="6" t="s">
        <v>42</v>
      </c>
      <c r="Y515" s="6" t="s">
        <v>35</v>
      </c>
      <c r="Z515" s="6" t="s">
        <v>46</v>
      </c>
      <c r="AA515" s="6" t="s">
        <v>37</v>
      </c>
      <c r="AB515" s="6" t="s">
        <v>149</v>
      </c>
      <c r="AC515" s="6" t="s">
        <v>59</v>
      </c>
      <c r="AD515" s="26" t="s">
        <v>152</v>
      </c>
      <c r="AE515" s="7">
        <v>105</v>
      </c>
      <c r="AF515" s="6">
        <v>160</v>
      </c>
      <c r="AG515" s="10">
        <v>5</v>
      </c>
      <c r="AH515" s="31" t="s">
        <v>54</v>
      </c>
    </row>
    <row r="516" ht="13.9" spans="1:34">
      <c r="A516" s="6">
        <v>5005</v>
      </c>
      <c r="B516" s="7">
        <v>0.3</v>
      </c>
      <c r="C516" s="6">
        <v>0.7</v>
      </c>
      <c r="D516" s="6">
        <v>0.2</v>
      </c>
      <c r="E516" s="6">
        <v>0.2</v>
      </c>
      <c r="F516" s="6">
        <v>0.8</v>
      </c>
      <c r="G516" s="6">
        <v>0.1</v>
      </c>
      <c r="H516" s="6">
        <v>0.25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8">
        <f t="shared" si="19"/>
        <v>97.45</v>
      </c>
      <c r="U516" s="7">
        <v>25</v>
      </c>
      <c r="V516" s="6">
        <v>25</v>
      </c>
      <c r="W516" s="6">
        <v>0</v>
      </c>
      <c r="X516" s="6" t="s">
        <v>42</v>
      </c>
      <c r="Y516" s="6" t="s">
        <v>35</v>
      </c>
      <c r="Z516" s="6" t="s">
        <v>46</v>
      </c>
      <c r="AA516" s="6" t="s">
        <v>37</v>
      </c>
      <c r="AB516" s="6" t="s">
        <v>37</v>
      </c>
      <c r="AC516" s="6" t="s">
        <v>43</v>
      </c>
      <c r="AD516" s="26" t="s">
        <v>47</v>
      </c>
      <c r="AE516" s="7">
        <v>152</v>
      </c>
      <c r="AF516" s="6">
        <v>159</v>
      </c>
      <c r="AG516" s="10">
        <v>6</v>
      </c>
      <c r="AH516" s="31" t="s">
        <v>54</v>
      </c>
    </row>
    <row r="517" ht="13.9" spans="1:34">
      <c r="A517" s="6">
        <v>5005</v>
      </c>
      <c r="B517" s="7">
        <v>0.3</v>
      </c>
      <c r="C517" s="6">
        <v>0.7</v>
      </c>
      <c r="D517" s="6">
        <v>0.2</v>
      </c>
      <c r="E517" s="6">
        <v>0.2</v>
      </c>
      <c r="F517" s="6">
        <v>0.8</v>
      </c>
      <c r="G517" s="6">
        <v>0.1</v>
      </c>
      <c r="H517" s="6">
        <v>0.25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8">
        <f t="shared" si="19"/>
        <v>97.45</v>
      </c>
      <c r="U517" s="7">
        <v>25</v>
      </c>
      <c r="V517" s="6">
        <v>25</v>
      </c>
      <c r="W517" s="6">
        <v>0</v>
      </c>
      <c r="X517" s="6" t="s">
        <v>42</v>
      </c>
      <c r="Y517" s="6" t="s">
        <v>35</v>
      </c>
      <c r="Z517" s="6" t="s">
        <v>46</v>
      </c>
      <c r="AA517" s="6" t="s">
        <v>37</v>
      </c>
      <c r="AB517" s="6" t="s">
        <v>149</v>
      </c>
      <c r="AC517" s="6" t="s">
        <v>43</v>
      </c>
      <c r="AD517" s="26" t="s">
        <v>152</v>
      </c>
      <c r="AE517" s="7">
        <v>138</v>
      </c>
      <c r="AF517" s="6">
        <v>159</v>
      </c>
      <c r="AG517" s="10">
        <v>8</v>
      </c>
      <c r="AH517" s="31" t="s">
        <v>54</v>
      </c>
    </row>
    <row r="518" ht="13.9" spans="1:34">
      <c r="A518" s="6">
        <v>5005</v>
      </c>
      <c r="B518" s="7">
        <v>0.3</v>
      </c>
      <c r="C518" s="6">
        <v>0.7</v>
      </c>
      <c r="D518" s="6">
        <v>0.2</v>
      </c>
      <c r="E518" s="6">
        <v>0.2</v>
      </c>
      <c r="F518" s="6">
        <v>0.8</v>
      </c>
      <c r="G518" s="6">
        <v>0.1</v>
      </c>
      <c r="H518" s="6">
        <v>0.25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8">
        <f t="shared" si="19"/>
        <v>97.45</v>
      </c>
      <c r="U518" s="7">
        <v>25</v>
      </c>
      <c r="V518" s="6">
        <v>25</v>
      </c>
      <c r="W518" s="6">
        <v>0</v>
      </c>
      <c r="X518" s="6" t="s">
        <v>42</v>
      </c>
      <c r="Y518" s="6" t="s">
        <v>35</v>
      </c>
      <c r="Z518" s="6" t="s">
        <v>65</v>
      </c>
      <c r="AA518" s="6" t="s">
        <v>37</v>
      </c>
      <c r="AB518" s="6" t="s">
        <v>37</v>
      </c>
      <c r="AC518" s="6" t="s">
        <v>59</v>
      </c>
      <c r="AD518" s="26" t="s">
        <v>66</v>
      </c>
      <c r="AE518" s="7">
        <v>95</v>
      </c>
      <c r="AF518" s="6">
        <v>145</v>
      </c>
      <c r="AG518" s="10">
        <v>5.5</v>
      </c>
      <c r="AH518" s="31" t="s">
        <v>54</v>
      </c>
    </row>
    <row r="519" ht="13.9" spans="1:34">
      <c r="A519" s="6">
        <v>5005</v>
      </c>
      <c r="B519" s="7">
        <v>0.3</v>
      </c>
      <c r="C519" s="6">
        <v>0.7</v>
      </c>
      <c r="D519" s="6">
        <v>0.2</v>
      </c>
      <c r="E519" s="6">
        <v>0.2</v>
      </c>
      <c r="F519" s="6">
        <v>0.8</v>
      </c>
      <c r="G519" s="6">
        <v>0.1</v>
      </c>
      <c r="H519" s="6">
        <v>0.25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8">
        <f t="shared" si="19"/>
        <v>97.45</v>
      </c>
      <c r="U519" s="7">
        <v>25</v>
      </c>
      <c r="V519" s="6">
        <v>25</v>
      </c>
      <c r="W519" s="6">
        <v>0</v>
      </c>
      <c r="X519" s="6" t="s">
        <v>42</v>
      </c>
      <c r="Y519" s="6" t="s">
        <v>35</v>
      </c>
      <c r="Z519" s="6" t="s">
        <v>65</v>
      </c>
      <c r="AA519" s="6" t="s">
        <v>37</v>
      </c>
      <c r="AB519" s="6" t="s">
        <v>149</v>
      </c>
      <c r="AC519" s="6" t="s">
        <v>59</v>
      </c>
      <c r="AD519" s="26" t="s">
        <v>153</v>
      </c>
      <c r="AE519" s="7">
        <v>85</v>
      </c>
      <c r="AF519" s="6">
        <v>140</v>
      </c>
      <c r="AG519" s="10">
        <v>6.5</v>
      </c>
      <c r="AH519" s="31" t="s">
        <v>54</v>
      </c>
    </row>
    <row r="520" ht="13.9" spans="1:34">
      <c r="A520" s="6">
        <v>5005</v>
      </c>
      <c r="B520" s="7">
        <v>0.3</v>
      </c>
      <c r="C520" s="6">
        <v>0.7</v>
      </c>
      <c r="D520" s="6">
        <v>0.2</v>
      </c>
      <c r="E520" s="6">
        <v>0.2</v>
      </c>
      <c r="F520" s="6">
        <v>0.8</v>
      </c>
      <c r="G520" s="6">
        <v>0.1</v>
      </c>
      <c r="H520" s="6">
        <v>0.25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8">
        <f t="shared" si="19"/>
        <v>97.45</v>
      </c>
      <c r="U520" s="7">
        <v>25</v>
      </c>
      <c r="V520" s="6">
        <v>25</v>
      </c>
      <c r="W520" s="6">
        <v>0</v>
      </c>
      <c r="X520" s="6" t="s">
        <v>42</v>
      </c>
      <c r="Y520" s="6" t="s">
        <v>35</v>
      </c>
      <c r="Z520" s="6" t="s">
        <v>65</v>
      </c>
      <c r="AA520" s="6" t="s">
        <v>37</v>
      </c>
      <c r="AB520" s="6" t="s">
        <v>37</v>
      </c>
      <c r="AC520" s="6" t="s">
        <v>43</v>
      </c>
      <c r="AD520" s="26" t="s">
        <v>66</v>
      </c>
      <c r="AE520" s="7">
        <v>131</v>
      </c>
      <c r="AF520" s="6">
        <v>138</v>
      </c>
      <c r="AG520" s="10">
        <v>10</v>
      </c>
      <c r="AH520" s="31" t="s">
        <v>54</v>
      </c>
    </row>
    <row r="521" ht="13.9" spans="1:34">
      <c r="A521" s="6">
        <v>5005</v>
      </c>
      <c r="B521" s="7">
        <v>0.3</v>
      </c>
      <c r="C521" s="6">
        <v>0.7</v>
      </c>
      <c r="D521" s="6">
        <v>0.2</v>
      </c>
      <c r="E521" s="6">
        <v>0.2</v>
      </c>
      <c r="F521" s="6">
        <v>0.8</v>
      </c>
      <c r="G521" s="6">
        <v>0.1</v>
      </c>
      <c r="H521" s="6">
        <v>0.25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8">
        <f t="shared" si="19"/>
        <v>97.45</v>
      </c>
      <c r="U521" s="7">
        <v>25</v>
      </c>
      <c r="V521" s="6">
        <v>25</v>
      </c>
      <c r="W521" s="6">
        <v>0</v>
      </c>
      <c r="X521" s="6" t="s">
        <v>42</v>
      </c>
      <c r="Y521" s="6" t="s">
        <v>35</v>
      </c>
      <c r="Z521" s="6" t="s">
        <v>65</v>
      </c>
      <c r="AA521" s="6" t="s">
        <v>37</v>
      </c>
      <c r="AB521" s="6" t="s">
        <v>149</v>
      </c>
      <c r="AC521" s="6" t="s">
        <v>43</v>
      </c>
      <c r="AD521" s="26" t="s">
        <v>153</v>
      </c>
      <c r="AE521" s="7">
        <v>117</v>
      </c>
      <c r="AF521" s="6">
        <v>138</v>
      </c>
      <c r="AG521" s="10">
        <v>11</v>
      </c>
      <c r="AH521" s="31" t="s">
        <v>54</v>
      </c>
    </row>
    <row r="522" ht="13.9" spans="1:34">
      <c r="A522" s="6">
        <v>5005</v>
      </c>
      <c r="B522" s="7">
        <v>0.3</v>
      </c>
      <c r="C522" s="6">
        <v>0.7</v>
      </c>
      <c r="D522" s="6">
        <v>0.2</v>
      </c>
      <c r="E522" s="6">
        <v>0.2</v>
      </c>
      <c r="F522" s="6">
        <v>0.8</v>
      </c>
      <c r="G522" s="6">
        <v>0.1</v>
      </c>
      <c r="H522" s="6">
        <v>0.25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8">
        <f t="shared" si="19"/>
        <v>97.45</v>
      </c>
      <c r="U522" s="7">
        <v>345</v>
      </c>
      <c r="V522" s="6">
        <v>25</v>
      </c>
      <c r="W522" s="6">
        <v>0</v>
      </c>
      <c r="X522" s="6" t="s">
        <v>42</v>
      </c>
      <c r="Y522" s="6" t="s">
        <v>50</v>
      </c>
      <c r="Z522" s="6" t="s">
        <v>37</v>
      </c>
      <c r="AA522" s="6" t="s">
        <v>37</v>
      </c>
      <c r="AB522" s="6" t="s">
        <v>37</v>
      </c>
      <c r="AC522" s="6" t="s">
        <v>59</v>
      </c>
      <c r="AD522" s="26" t="s">
        <v>57</v>
      </c>
      <c r="AE522" s="7">
        <v>35</v>
      </c>
      <c r="AF522" s="6">
        <v>125</v>
      </c>
      <c r="AG522" s="10">
        <v>17</v>
      </c>
      <c r="AH522" s="31" t="s">
        <v>54</v>
      </c>
    </row>
    <row r="523" ht="13.9" spans="1:34">
      <c r="A523" s="6">
        <v>5005</v>
      </c>
      <c r="B523" s="7">
        <v>0.3</v>
      </c>
      <c r="C523" s="6">
        <v>0.7</v>
      </c>
      <c r="D523" s="6">
        <v>0.2</v>
      </c>
      <c r="E523" s="6">
        <v>0.2</v>
      </c>
      <c r="F523" s="6">
        <v>0.8</v>
      </c>
      <c r="G523" s="6">
        <v>0.1</v>
      </c>
      <c r="H523" s="6">
        <v>0.25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8">
        <f t="shared" si="19"/>
        <v>97.45</v>
      </c>
      <c r="U523" s="7">
        <v>345</v>
      </c>
      <c r="V523" s="6">
        <v>25</v>
      </c>
      <c r="W523" s="6">
        <v>0</v>
      </c>
      <c r="X523" s="6" t="s">
        <v>42</v>
      </c>
      <c r="Y523" s="6" t="s">
        <v>50</v>
      </c>
      <c r="Z523" s="6" t="s">
        <v>37</v>
      </c>
      <c r="AA523" s="6" t="s">
        <v>37</v>
      </c>
      <c r="AB523" s="6" t="s">
        <v>37</v>
      </c>
      <c r="AC523" s="6" t="s">
        <v>43</v>
      </c>
      <c r="AD523" s="26" t="s">
        <v>57</v>
      </c>
      <c r="AE523" s="7">
        <v>41</v>
      </c>
      <c r="AF523" s="6">
        <v>124</v>
      </c>
      <c r="AG523" s="10">
        <v>25</v>
      </c>
      <c r="AH523" s="31" t="s">
        <v>54</v>
      </c>
    </row>
    <row r="524" ht="13.9" spans="1:34">
      <c r="A524" s="6">
        <v>5005</v>
      </c>
      <c r="B524" s="7">
        <v>0.3</v>
      </c>
      <c r="C524" s="6">
        <v>0.7</v>
      </c>
      <c r="D524" s="6">
        <v>0.2</v>
      </c>
      <c r="E524" s="6">
        <v>0.2</v>
      </c>
      <c r="F524" s="6">
        <v>0.8</v>
      </c>
      <c r="G524" s="6">
        <v>0.1</v>
      </c>
      <c r="H524" s="6">
        <v>0.25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8">
        <f t="shared" si="19"/>
        <v>97.45</v>
      </c>
      <c r="U524" s="7">
        <v>25</v>
      </c>
      <c r="V524" s="6">
        <v>25</v>
      </c>
      <c r="W524" s="6">
        <v>0</v>
      </c>
      <c r="X524" s="6" t="s">
        <v>42</v>
      </c>
      <c r="Y524" s="6" t="s">
        <v>35</v>
      </c>
      <c r="Z524" s="6" t="s">
        <v>67</v>
      </c>
      <c r="AA524" s="6" t="s">
        <v>37</v>
      </c>
      <c r="AB524" s="6" t="s">
        <v>37</v>
      </c>
      <c r="AC524" s="6" t="s">
        <v>59</v>
      </c>
      <c r="AD524" s="26" t="s">
        <v>68</v>
      </c>
      <c r="AE524" s="7" t="s">
        <v>40</v>
      </c>
      <c r="AF524" s="6">
        <v>107</v>
      </c>
      <c r="AG524" s="10">
        <v>11.3</v>
      </c>
      <c r="AH524" s="31" t="s">
        <v>54</v>
      </c>
    </row>
    <row r="525" ht="13.9" spans="1:34">
      <c r="A525" s="6">
        <v>5005</v>
      </c>
      <c r="B525" s="7">
        <v>0.3</v>
      </c>
      <c r="C525" s="6">
        <v>0.7</v>
      </c>
      <c r="D525" s="6">
        <v>0.2</v>
      </c>
      <c r="E525" s="6">
        <v>0.2</v>
      </c>
      <c r="F525" s="6">
        <v>1.1</v>
      </c>
      <c r="G525" s="6">
        <v>0.1</v>
      </c>
      <c r="H525" s="6">
        <v>0.25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8">
        <f t="shared" si="19"/>
        <v>97.15</v>
      </c>
      <c r="U525" s="7">
        <v>400</v>
      </c>
      <c r="V525" s="6">
        <v>25</v>
      </c>
      <c r="W525" s="6">
        <v>0</v>
      </c>
      <c r="X525" s="6" t="s">
        <v>42</v>
      </c>
      <c r="Y525" s="6" t="s">
        <v>50</v>
      </c>
      <c r="Z525" s="6" t="s">
        <v>37</v>
      </c>
      <c r="AA525" s="6" t="s">
        <v>37</v>
      </c>
      <c r="AB525" s="6" t="s">
        <v>37</v>
      </c>
      <c r="AC525" s="6" t="s">
        <v>43</v>
      </c>
      <c r="AD525" s="26" t="s">
        <v>57</v>
      </c>
      <c r="AE525" s="7">
        <v>222</v>
      </c>
      <c r="AF525" s="6">
        <v>261</v>
      </c>
      <c r="AG525" s="10">
        <v>14.82</v>
      </c>
      <c r="AH525" s="31" t="s">
        <v>156</v>
      </c>
    </row>
    <row r="526" s="3" customFormat="1" ht="13.9" spans="1:34">
      <c r="A526" s="3">
        <v>5005</v>
      </c>
      <c r="B526" s="16">
        <v>0.3</v>
      </c>
      <c r="C526" s="3">
        <v>0.7</v>
      </c>
      <c r="D526" s="3">
        <v>0.2</v>
      </c>
      <c r="E526" s="3">
        <v>0.2</v>
      </c>
      <c r="F526" s="3">
        <v>1.1</v>
      </c>
      <c r="G526" s="3">
        <v>0.1</v>
      </c>
      <c r="H526" s="3">
        <v>0.25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22">
        <f t="shared" si="19"/>
        <v>97.15</v>
      </c>
      <c r="U526" s="16">
        <v>500</v>
      </c>
      <c r="V526" s="3">
        <v>25</v>
      </c>
      <c r="W526" s="3">
        <v>0</v>
      </c>
      <c r="X526" s="3" t="s">
        <v>42</v>
      </c>
      <c r="Y526" s="3" t="s">
        <v>50</v>
      </c>
      <c r="Z526" s="3" t="s">
        <v>37</v>
      </c>
      <c r="AA526" s="3" t="s">
        <v>37</v>
      </c>
      <c r="AB526" s="3" t="s">
        <v>37</v>
      </c>
      <c r="AC526" s="3" t="s">
        <v>43</v>
      </c>
      <c r="AD526" s="27" t="s">
        <v>57</v>
      </c>
      <c r="AE526" s="16">
        <v>210</v>
      </c>
      <c r="AF526" s="3">
        <v>253</v>
      </c>
      <c r="AG526" s="32">
        <v>15.2</v>
      </c>
      <c r="AH526" s="33" t="s">
        <v>156</v>
      </c>
    </row>
    <row r="527" ht="13.9" spans="1:34">
      <c r="A527" s="6">
        <v>5050</v>
      </c>
      <c r="B527" s="7">
        <v>0.4</v>
      </c>
      <c r="C527" s="6">
        <v>0.7</v>
      </c>
      <c r="D527" s="6">
        <v>0.2</v>
      </c>
      <c r="E527" s="6">
        <v>0.1</v>
      </c>
      <c r="F527" s="6">
        <v>1.45</v>
      </c>
      <c r="G527" s="6">
        <v>0.1</v>
      </c>
      <c r="H527" s="6">
        <v>0.25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8">
        <f t="shared" si="19"/>
        <v>96.8</v>
      </c>
      <c r="U527" s="7">
        <v>25</v>
      </c>
      <c r="V527" s="6">
        <v>25</v>
      </c>
      <c r="W527" s="6">
        <v>0</v>
      </c>
      <c r="X527" s="6" t="s">
        <v>42</v>
      </c>
      <c r="Y527" s="6" t="s">
        <v>35</v>
      </c>
      <c r="Z527" s="6" t="s">
        <v>36</v>
      </c>
      <c r="AA527" s="6" t="s">
        <v>37</v>
      </c>
      <c r="AB527" s="6" t="s">
        <v>149</v>
      </c>
      <c r="AC527" s="6" t="s">
        <v>43</v>
      </c>
      <c r="AD527" s="26" t="s">
        <v>150</v>
      </c>
      <c r="AE527" s="7">
        <v>200</v>
      </c>
      <c r="AF527" s="6">
        <v>220</v>
      </c>
      <c r="AG527" s="10">
        <v>6</v>
      </c>
      <c r="AH527" s="31" t="s">
        <v>54</v>
      </c>
    </row>
    <row r="528" ht="13.9" spans="1:34">
      <c r="A528" s="6">
        <v>5050</v>
      </c>
      <c r="B528" s="7">
        <v>0.4</v>
      </c>
      <c r="C528" s="6">
        <v>0.7</v>
      </c>
      <c r="D528" s="6">
        <v>0.2</v>
      </c>
      <c r="E528" s="6">
        <v>0.1</v>
      </c>
      <c r="F528" s="6">
        <v>1.45</v>
      </c>
      <c r="G528" s="6">
        <v>0.1</v>
      </c>
      <c r="H528" s="6">
        <v>0.25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8">
        <f t="shared" si="19"/>
        <v>96.8</v>
      </c>
      <c r="U528" s="7">
        <v>25</v>
      </c>
      <c r="V528" s="6">
        <v>25</v>
      </c>
      <c r="W528" s="6">
        <v>0</v>
      </c>
      <c r="X528" s="6" t="s">
        <v>42</v>
      </c>
      <c r="Y528" s="6" t="s">
        <v>35</v>
      </c>
      <c r="Z528" s="6" t="s">
        <v>55</v>
      </c>
      <c r="AA528" s="6" t="s">
        <v>37</v>
      </c>
      <c r="AB528" s="6" t="s">
        <v>149</v>
      </c>
      <c r="AC528" s="6" t="s">
        <v>43</v>
      </c>
      <c r="AD528" s="26" t="s">
        <v>151</v>
      </c>
      <c r="AE528" s="7">
        <v>180</v>
      </c>
      <c r="AF528" s="6">
        <v>205</v>
      </c>
      <c r="AG528" s="10">
        <v>7</v>
      </c>
      <c r="AH528" s="31" t="s">
        <v>54</v>
      </c>
    </row>
    <row r="529" ht="13.9" spans="1:34">
      <c r="A529" s="6">
        <v>5050</v>
      </c>
      <c r="B529" s="7">
        <v>0.4</v>
      </c>
      <c r="C529" s="6">
        <v>0.7</v>
      </c>
      <c r="D529" s="6">
        <v>0.2</v>
      </c>
      <c r="E529" s="6">
        <v>0.1</v>
      </c>
      <c r="F529" s="6">
        <v>1.45</v>
      </c>
      <c r="G529" s="6">
        <v>0.1</v>
      </c>
      <c r="H529" s="6">
        <v>0.25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8">
        <f t="shared" si="19"/>
        <v>96.8</v>
      </c>
      <c r="U529" s="7">
        <v>25</v>
      </c>
      <c r="V529" s="6">
        <v>25</v>
      </c>
      <c r="W529" s="6">
        <v>0</v>
      </c>
      <c r="X529" s="6" t="s">
        <v>53</v>
      </c>
      <c r="Y529" s="6" t="s">
        <v>35</v>
      </c>
      <c r="Z529" s="6" t="s">
        <v>36</v>
      </c>
      <c r="AA529" s="6" t="s">
        <v>37</v>
      </c>
      <c r="AB529" s="6" t="s">
        <v>149</v>
      </c>
      <c r="AC529" s="6" t="s">
        <v>53</v>
      </c>
      <c r="AD529" s="26" t="s">
        <v>150</v>
      </c>
      <c r="AE529" s="7" t="s">
        <v>40</v>
      </c>
      <c r="AF529" s="6">
        <v>200</v>
      </c>
      <c r="AG529" s="10">
        <v>3</v>
      </c>
      <c r="AH529" s="31" t="s">
        <v>54</v>
      </c>
    </row>
    <row r="530" ht="13.9" spans="1:34">
      <c r="A530" s="6">
        <v>5050</v>
      </c>
      <c r="B530" s="7">
        <v>0.4</v>
      </c>
      <c r="C530" s="6">
        <v>0.7</v>
      </c>
      <c r="D530" s="6">
        <v>0.2</v>
      </c>
      <c r="E530" s="6">
        <v>0.1</v>
      </c>
      <c r="F530" s="6">
        <v>1.45</v>
      </c>
      <c r="G530" s="6">
        <v>0.1</v>
      </c>
      <c r="H530" s="6">
        <v>0.25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8">
        <f t="shared" si="19"/>
        <v>96.8</v>
      </c>
      <c r="U530" s="7">
        <v>25</v>
      </c>
      <c r="V530" s="6">
        <v>25</v>
      </c>
      <c r="W530" s="6">
        <v>0</v>
      </c>
      <c r="X530" s="6" t="s">
        <v>42</v>
      </c>
      <c r="Y530" s="6" t="s">
        <v>35</v>
      </c>
      <c r="Z530" s="6" t="s">
        <v>46</v>
      </c>
      <c r="AA530" s="6" t="s">
        <v>37</v>
      </c>
      <c r="AB530" s="6" t="s">
        <v>149</v>
      </c>
      <c r="AC530" s="6" t="s">
        <v>43</v>
      </c>
      <c r="AD530" s="26" t="s">
        <v>152</v>
      </c>
      <c r="AE530" s="7">
        <v>165</v>
      </c>
      <c r="AF530" s="6">
        <v>190</v>
      </c>
      <c r="AG530" s="10">
        <v>8</v>
      </c>
      <c r="AH530" s="31" t="s">
        <v>54</v>
      </c>
    </row>
    <row r="531" ht="13.9" spans="1:34">
      <c r="A531" s="6">
        <v>5050</v>
      </c>
      <c r="B531" s="7">
        <v>0.4</v>
      </c>
      <c r="C531" s="6">
        <v>0.7</v>
      </c>
      <c r="D531" s="6">
        <v>0.2</v>
      </c>
      <c r="E531" s="6">
        <v>0.1</v>
      </c>
      <c r="F531" s="6">
        <v>1.45</v>
      </c>
      <c r="G531" s="6">
        <v>0.1</v>
      </c>
      <c r="H531" s="6">
        <v>0.25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8">
        <f t="shared" si="19"/>
        <v>96.8</v>
      </c>
      <c r="U531" s="7">
        <v>25</v>
      </c>
      <c r="V531" s="6">
        <v>25</v>
      </c>
      <c r="W531" s="6">
        <v>0</v>
      </c>
      <c r="X531" s="6" t="s">
        <v>53</v>
      </c>
      <c r="Y531" s="6" t="s">
        <v>35</v>
      </c>
      <c r="Z531" s="6" t="s">
        <v>55</v>
      </c>
      <c r="AA531" s="6" t="s">
        <v>37</v>
      </c>
      <c r="AB531" s="6" t="s">
        <v>149</v>
      </c>
      <c r="AC531" s="6" t="s">
        <v>53</v>
      </c>
      <c r="AD531" s="26" t="s">
        <v>151</v>
      </c>
      <c r="AE531" s="7">
        <v>151</v>
      </c>
      <c r="AF531" s="6">
        <v>185</v>
      </c>
      <c r="AG531" s="10">
        <v>3</v>
      </c>
      <c r="AH531" s="31" t="s">
        <v>54</v>
      </c>
    </row>
    <row r="532" ht="13.9" spans="1:34">
      <c r="A532" s="6">
        <v>5050</v>
      </c>
      <c r="B532" s="7">
        <v>0.4</v>
      </c>
      <c r="C532" s="6">
        <v>0.7</v>
      </c>
      <c r="D532" s="6">
        <v>0.2</v>
      </c>
      <c r="E532" s="6">
        <v>0.1</v>
      </c>
      <c r="F532" s="6">
        <v>1.45</v>
      </c>
      <c r="G532" s="6">
        <v>0.1</v>
      </c>
      <c r="H532" s="6">
        <v>0.25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8">
        <f t="shared" si="19"/>
        <v>96.8</v>
      </c>
      <c r="U532" s="7">
        <v>25</v>
      </c>
      <c r="V532" s="6">
        <v>25</v>
      </c>
      <c r="W532" s="6">
        <v>0</v>
      </c>
      <c r="X532" s="6" t="s">
        <v>42</v>
      </c>
      <c r="Y532" s="6" t="s">
        <v>35</v>
      </c>
      <c r="Z532" s="6" t="s">
        <v>65</v>
      </c>
      <c r="AA532" s="6" t="s">
        <v>37</v>
      </c>
      <c r="AB532" s="6" t="s">
        <v>149</v>
      </c>
      <c r="AC532" s="6" t="s">
        <v>43</v>
      </c>
      <c r="AD532" s="26" t="s">
        <v>153</v>
      </c>
      <c r="AE532" s="7">
        <v>145</v>
      </c>
      <c r="AF532" s="6">
        <v>170</v>
      </c>
      <c r="AG532" s="10">
        <v>9</v>
      </c>
      <c r="AH532" s="31" t="s">
        <v>54</v>
      </c>
    </row>
    <row r="533" ht="13.9" spans="1:34">
      <c r="A533" s="6">
        <v>5050</v>
      </c>
      <c r="B533" s="7">
        <v>0.4</v>
      </c>
      <c r="C533" s="6">
        <v>0.7</v>
      </c>
      <c r="D533" s="6">
        <v>0.2</v>
      </c>
      <c r="E533" s="6">
        <v>0.1</v>
      </c>
      <c r="F533" s="6">
        <v>1.45</v>
      </c>
      <c r="G533" s="6">
        <v>0.1</v>
      </c>
      <c r="H533" s="6">
        <v>0.25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8">
        <f t="shared" si="19"/>
        <v>96.8</v>
      </c>
      <c r="U533" s="7">
        <v>25</v>
      </c>
      <c r="V533" s="6">
        <v>25</v>
      </c>
      <c r="W533" s="6">
        <v>0</v>
      </c>
      <c r="X533" s="6" t="s">
        <v>53</v>
      </c>
      <c r="Y533" s="6" t="s">
        <v>35</v>
      </c>
      <c r="Z533" s="6" t="s">
        <v>46</v>
      </c>
      <c r="AA533" s="6" t="s">
        <v>37</v>
      </c>
      <c r="AB533" s="6" t="s">
        <v>149</v>
      </c>
      <c r="AC533" s="6" t="s">
        <v>53</v>
      </c>
      <c r="AD533" s="26" t="s">
        <v>152</v>
      </c>
      <c r="AE533" s="7">
        <v>138</v>
      </c>
      <c r="AF533" s="6">
        <v>170</v>
      </c>
      <c r="AG533" s="10">
        <v>4</v>
      </c>
      <c r="AH533" s="31" t="s">
        <v>54</v>
      </c>
    </row>
    <row r="534" ht="13.9" spans="1:34">
      <c r="A534" s="6">
        <v>5050</v>
      </c>
      <c r="B534" s="7">
        <v>0.4</v>
      </c>
      <c r="C534" s="6">
        <v>0.7</v>
      </c>
      <c r="D534" s="6">
        <v>0.2</v>
      </c>
      <c r="E534" s="6">
        <v>0.1</v>
      </c>
      <c r="F534" s="6">
        <v>1.45</v>
      </c>
      <c r="G534" s="6">
        <v>0.1</v>
      </c>
      <c r="H534" s="6">
        <v>0.25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8">
        <f t="shared" si="19"/>
        <v>96.8</v>
      </c>
      <c r="U534" s="7">
        <v>25</v>
      </c>
      <c r="V534" s="6">
        <v>25</v>
      </c>
      <c r="W534" s="6">
        <v>0</v>
      </c>
      <c r="X534" s="6" t="s">
        <v>53</v>
      </c>
      <c r="Y534" s="6" t="s">
        <v>35</v>
      </c>
      <c r="Z534" s="6" t="s">
        <v>65</v>
      </c>
      <c r="AA534" s="6" t="s">
        <v>37</v>
      </c>
      <c r="AB534" s="6" t="s">
        <v>149</v>
      </c>
      <c r="AC534" s="6" t="s">
        <v>53</v>
      </c>
      <c r="AD534" s="26" t="s">
        <v>153</v>
      </c>
      <c r="AE534" s="7">
        <v>110</v>
      </c>
      <c r="AF534" s="6">
        <v>150</v>
      </c>
      <c r="AG534" s="10">
        <v>5</v>
      </c>
      <c r="AH534" s="31" t="s">
        <v>54</v>
      </c>
    </row>
    <row r="535" ht="13.9" spans="1:34">
      <c r="A535" s="6">
        <v>5050</v>
      </c>
      <c r="B535" s="7">
        <v>0.4</v>
      </c>
      <c r="C535" s="6">
        <v>0.7</v>
      </c>
      <c r="D535" s="6">
        <v>0.2</v>
      </c>
      <c r="E535" s="6">
        <v>0.1</v>
      </c>
      <c r="F535" s="6">
        <v>1.45</v>
      </c>
      <c r="G535" s="6">
        <v>0.1</v>
      </c>
      <c r="H535" s="6">
        <v>0.25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8">
        <f t="shared" si="19"/>
        <v>96.8</v>
      </c>
      <c r="U535" s="7">
        <v>345</v>
      </c>
      <c r="V535" s="6">
        <v>25</v>
      </c>
      <c r="W535" s="6">
        <v>0</v>
      </c>
      <c r="X535" s="6" t="s">
        <v>42</v>
      </c>
      <c r="Y535" s="6" t="s">
        <v>50</v>
      </c>
      <c r="Z535" s="6" t="s">
        <v>37</v>
      </c>
      <c r="AA535" s="6" t="s">
        <v>37</v>
      </c>
      <c r="AB535" s="6" t="s">
        <v>37</v>
      </c>
      <c r="AC535" s="6" t="s">
        <v>43</v>
      </c>
      <c r="AD535" s="26" t="s">
        <v>57</v>
      </c>
      <c r="AE535" s="7">
        <v>55</v>
      </c>
      <c r="AF535" s="6">
        <v>145</v>
      </c>
      <c r="AG535" s="10">
        <v>24</v>
      </c>
      <c r="AH535" s="31" t="s">
        <v>54</v>
      </c>
    </row>
    <row r="536" s="3" customFormat="1" ht="13.9" spans="1:34">
      <c r="A536" s="3">
        <v>5050</v>
      </c>
      <c r="B536" s="16">
        <v>0.4</v>
      </c>
      <c r="C536" s="3">
        <v>0.7</v>
      </c>
      <c r="D536" s="3">
        <v>0.2</v>
      </c>
      <c r="E536" s="3">
        <v>0.1</v>
      </c>
      <c r="F536" s="3">
        <v>1.45</v>
      </c>
      <c r="G536" s="3">
        <v>0.1</v>
      </c>
      <c r="H536" s="3">
        <v>0.25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22">
        <f t="shared" si="19"/>
        <v>96.8</v>
      </c>
      <c r="U536" s="16">
        <v>345</v>
      </c>
      <c r="V536" s="3">
        <v>25</v>
      </c>
      <c r="W536" s="3">
        <v>0</v>
      </c>
      <c r="X536" s="3" t="s">
        <v>53</v>
      </c>
      <c r="Y536" s="3" t="s">
        <v>50</v>
      </c>
      <c r="Z536" s="3" t="s">
        <v>37</v>
      </c>
      <c r="AA536" s="3" t="s">
        <v>37</v>
      </c>
      <c r="AB536" s="3" t="s">
        <v>37</v>
      </c>
      <c r="AC536" s="3" t="s">
        <v>53</v>
      </c>
      <c r="AD536" s="27" t="s">
        <v>57</v>
      </c>
      <c r="AE536" s="16">
        <v>41</v>
      </c>
      <c r="AF536" s="3">
        <v>125</v>
      </c>
      <c r="AG536" s="32">
        <v>17</v>
      </c>
      <c r="AH536" s="33" t="s">
        <v>54</v>
      </c>
    </row>
    <row r="537" ht="13.9" spans="1:34">
      <c r="A537" s="6">
        <v>5052</v>
      </c>
      <c r="B537" s="7">
        <v>0.25</v>
      </c>
      <c r="C537" s="6">
        <v>0.4</v>
      </c>
      <c r="D537" s="6">
        <v>0.1</v>
      </c>
      <c r="E537" s="6">
        <v>0.1</v>
      </c>
      <c r="F537" s="6">
        <v>2.5</v>
      </c>
      <c r="G537" s="6">
        <v>0.25</v>
      </c>
      <c r="H537" s="6">
        <v>0.1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8">
        <f t="shared" si="19"/>
        <v>96.3</v>
      </c>
      <c r="U537" s="7">
        <v>25</v>
      </c>
      <c r="V537" s="6">
        <v>25</v>
      </c>
      <c r="W537" s="6">
        <v>0</v>
      </c>
      <c r="X537" s="6" t="s">
        <v>42</v>
      </c>
      <c r="Y537" s="6" t="s">
        <v>35</v>
      </c>
      <c r="Z537" s="6" t="s">
        <v>36</v>
      </c>
      <c r="AA537" s="6" t="s">
        <v>37</v>
      </c>
      <c r="AB537" s="6" t="s">
        <v>149</v>
      </c>
      <c r="AC537" s="6" t="s">
        <v>59</v>
      </c>
      <c r="AD537" s="26" t="s">
        <v>150</v>
      </c>
      <c r="AE537" s="7">
        <v>255</v>
      </c>
      <c r="AF537" s="6">
        <v>290</v>
      </c>
      <c r="AG537" s="10">
        <v>7</v>
      </c>
      <c r="AH537" s="31" t="s">
        <v>54</v>
      </c>
    </row>
    <row r="538" ht="13.9" spans="1:34">
      <c r="A538" s="6">
        <v>5052</v>
      </c>
      <c r="B538" s="7">
        <v>0.25</v>
      </c>
      <c r="C538" s="6">
        <v>0.4</v>
      </c>
      <c r="D538" s="6">
        <v>0.1</v>
      </c>
      <c r="E538" s="6">
        <v>0.1</v>
      </c>
      <c r="F538" s="6">
        <v>2.5</v>
      </c>
      <c r="G538" s="6">
        <v>0.25</v>
      </c>
      <c r="H538" s="6">
        <v>0.1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8">
        <f t="shared" si="19"/>
        <v>96.3</v>
      </c>
      <c r="U538" s="7">
        <v>25</v>
      </c>
      <c r="V538" s="6">
        <v>25</v>
      </c>
      <c r="W538" s="6">
        <v>0</v>
      </c>
      <c r="X538" s="6" t="s">
        <v>42</v>
      </c>
      <c r="Y538" s="6" t="s">
        <v>35</v>
      </c>
      <c r="Z538" s="6" t="s">
        <v>36</v>
      </c>
      <c r="AA538" s="6" t="s">
        <v>37</v>
      </c>
      <c r="AB538" s="6" t="s">
        <v>149</v>
      </c>
      <c r="AC538" s="6" t="s">
        <v>43</v>
      </c>
      <c r="AD538" s="26" t="s">
        <v>150</v>
      </c>
      <c r="AE538" s="7">
        <v>255</v>
      </c>
      <c r="AF538" s="6">
        <v>290</v>
      </c>
      <c r="AG538" s="10">
        <v>7</v>
      </c>
      <c r="AH538" s="31" t="s">
        <v>54</v>
      </c>
    </row>
    <row r="539" ht="13.9" spans="1:34">
      <c r="A539" s="6">
        <v>5052</v>
      </c>
      <c r="B539" s="7">
        <v>0.25</v>
      </c>
      <c r="C539" s="6">
        <v>0.4</v>
      </c>
      <c r="D539" s="6">
        <v>0.1</v>
      </c>
      <c r="E539" s="6">
        <v>0.1</v>
      </c>
      <c r="F539" s="6">
        <v>2.5</v>
      </c>
      <c r="G539" s="6">
        <v>0.25</v>
      </c>
      <c r="H539" s="6">
        <v>0.1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8">
        <f t="shared" si="19"/>
        <v>96.3</v>
      </c>
      <c r="U539" s="7">
        <v>25</v>
      </c>
      <c r="V539" s="6">
        <v>25</v>
      </c>
      <c r="W539" s="6">
        <v>0</v>
      </c>
      <c r="X539" s="6" t="s">
        <v>53</v>
      </c>
      <c r="Y539" s="6" t="s">
        <v>35</v>
      </c>
      <c r="Z539" s="6" t="s">
        <v>36</v>
      </c>
      <c r="AA539" s="6" t="s">
        <v>37</v>
      </c>
      <c r="AB539" s="6" t="s">
        <v>149</v>
      </c>
      <c r="AC539" s="6" t="s">
        <v>53</v>
      </c>
      <c r="AD539" s="26" t="s">
        <v>150</v>
      </c>
      <c r="AE539" s="7">
        <v>255</v>
      </c>
      <c r="AF539" s="6">
        <v>290</v>
      </c>
      <c r="AG539" s="10">
        <v>14</v>
      </c>
      <c r="AH539" s="31" t="s">
        <v>54</v>
      </c>
    </row>
    <row r="540" ht="13.9" spans="1:34">
      <c r="A540" s="6">
        <v>5052</v>
      </c>
      <c r="B540" s="7">
        <v>0.25</v>
      </c>
      <c r="C540" s="6">
        <v>0.4</v>
      </c>
      <c r="D540" s="6">
        <v>0.1</v>
      </c>
      <c r="E540" s="6">
        <v>0.1</v>
      </c>
      <c r="F540" s="6">
        <v>2.5</v>
      </c>
      <c r="G540" s="6">
        <v>0.25</v>
      </c>
      <c r="H540" s="6">
        <v>0.1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8">
        <f t="shared" si="19"/>
        <v>96.3</v>
      </c>
      <c r="U540" s="7">
        <v>25</v>
      </c>
      <c r="V540" s="6">
        <v>25</v>
      </c>
      <c r="W540" s="6">
        <v>0</v>
      </c>
      <c r="X540" s="6" t="s">
        <v>42</v>
      </c>
      <c r="Y540" s="6" t="s">
        <v>35</v>
      </c>
      <c r="Z540" s="6" t="s">
        <v>55</v>
      </c>
      <c r="AA540" s="6" t="s">
        <v>37</v>
      </c>
      <c r="AB540" s="6" t="s">
        <v>149</v>
      </c>
      <c r="AC540" s="6" t="s">
        <v>59</v>
      </c>
      <c r="AD540" s="26" t="s">
        <v>151</v>
      </c>
      <c r="AE540" s="7">
        <v>240</v>
      </c>
      <c r="AF540" s="6">
        <v>275</v>
      </c>
      <c r="AG540" s="10">
        <v>9</v>
      </c>
      <c r="AH540" s="31" t="s">
        <v>54</v>
      </c>
    </row>
    <row r="541" ht="13.9" spans="1:34">
      <c r="A541" s="6">
        <v>5052</v>
      </c>
      <c r="B541" s="7">
        <v>0.25</v>
      </c>
      <c r="C541" s="6">
        <v>0.4</v>
      </c>
      <c r="D541" s="6">
        <v>0.1</v>
      </c>
      <c r="E541" s="6">
        <v>0.1</v>
      </c>
      <c r="F541" s="6">
        <v>2.5</v>
      </c>
      <c r="G541" s="6">
        <v>0.25</v>
      </c>
      <c r="H541" s="6">
        <v>0.1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8">
        <f t="shared" si="19"/>
        <v>96.3</v>
      </c>
      <c r="U541" s="7">
        <v>25</v>
      </c>
      <c r="V541" s="6">
        <v>25</v>
      </c>
      <c r="W541" s="6">
        <v>0</v>
      </c>
      <c r="X541" s="6" t="s">
        <v>42</v>
      </c>
      <c r="Y541" s="6" t="s">
        <v>35</v>
      </c>
      <c r="Z541" s="6" t="s">
        <v>55</v>
      </c>
      <c r="AA541" s="6" t="s">
        <v>37</v>
      </c>
      <c r="AB541" s="6" t="s">
        <v>149</v>
      </c>
      <c r="AC541" s="6" t="s">
        <v>43</v>
      </c>
      <c r="AD541" s="26" t="s">
        <v>151</v>
      </c>
      <c r="AE541" s="7">
        <v>240</v>
      </c>
      <c r="AF541" s="6">
        <v>275</v>
      </c>
      <c r="AG541" s="10">
        <v>8</v>
      </c>
      <c r="AH541" s="31" t="s">
        <v>54</v>
      </c>
    </row>
    <row r="542" ht="13.9" spans="1:34">
      <c r="A542" s="6">
        <v>5052</v>
      </c>
      <c r="B542" s="7">
        <v>0.25</v>
      </c>
      <c r="C542" s="6">
        <v>0.4</v>
      </c>
      <c r="D542" s="6">
        <v>0.1</v>
      </c>
      <c r="E542" s="6">
        <v>0.1</v>
      </c>
      <c r="F542" s="6">
        <v>2.5</v>
      </c>
      <c r="G542" s="6">
        <v>0.25</v>
      </c>
      <c r="H542" s="6">
        <v>0.1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8">
        <f t="shared" si="19"/>
        <v>96.3</v>
      </c>
      <c r="U542" s="7">
        <v>25</v>
      </c>
      <c r="V542" s="6">
        <v>25</v>
      </c>
      <c r="W542" s="6">
        <v>0</v>
      </c>
      <c r="X542" s="6" t="s">
        <v>53</v>
      </c>
      <c r="Y542" s="6" t="s">
        <v>35</v>
      </c>
      <c r="Z542" s="6" t="s">
        <v>46</v>
      </c>
      <c r="AA542" s="6" t="s">
        <v>37</v>
      </c>
      <c r="AB542" s="6" t="s">
        <v>149</v>
      </c>
      <c r="AC542" s="6" t="s">
        <v>53</v>
      </c>
      <c r="AD542" s="26" t="s">
        <v>152</v>
      </c>
      <c r="AE542" s="7">
        <v>214</v>
      </c>
      <c r="AF542" s="6">
        <v>262</v>
      </c>
      <c r="AG542" s="10">
        <v>16</v>
      </c>
      <c r="AH542" s="31" t="s">
        <v>54</v>
      </c>
    </row>
    <row r="543" ht="13.9" spans="1:34">
      <c r="A543" s="6">
        <v>5052</v>
      </c>
      <c r="B543" s="7">
        <v>0.25</v>
      </c>
      <c r="C543" s="6">
        <v>0.4</v>
      </c>
      <c r="D543" s="6">
        <v>0.1</v>
      </c>
      <c r="E543" s="6">
        <v>0.1</v>
      </c>
      <c r="F543" s="6">
        <v>2.5</v>
      </c>
      <c r="G543" s="6">
        <v>0.25</v>
      </c>
      <c r="H543" s="6">
        <v>0.1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8">
        <f t="shared" si="19"/>
        <v>96.3</v>
      </c>
      <c r="U543" s="7">
        <v>25</v>
      </c>
      <c r="V543" s="6">
        <v>25</v>
      </c>
      <c r="W543" s="6">
        <v>0</v>
      </c>
      <c r="X543" s="6" t="s">
        <v>42</v>
      </c>
      <c r="Y543" s="6" t="s">
        <v>35</v>
      </c>
      <c r="Z543" s="6" t="s">
        <v>46</v>
      </c>
      <c r="AA543" s="6" t="s">
        <v>37</v>
      </c>
      <c r="AB543" s="6" t="s">
        <v>149</v>
      </c>
      <c r="AC543" s="6" t="s">
        <v>59</v>
      </c>
      <c r="AD543" s="26" t="s">
        <v>152</v>
      </c>
      <c r="AE543" s="7">
        <v>215</v>
      </c>
      <c r="AF543" s="6">
        <v>260</v>
      </c>
      <c r="AG543" s="10">
        <v>12</v>
      </c>
      <c r="AH543" s="31" t="s">
        <v>54</v>
      </c>
    </row>
    <row r="544" ht="13.9" spans="1:34">
      <c r="A544" s="6">
        <v>5052</v>
      </c>
      <c r="B544" s="7">
        <v>0.25</v>
      </c>
      <c r="C544" s="6">
        <v>0.4</v>
      </c>
      <c r="D544" s="6">
        <v>0.1</v>
      </c>
      <c r="E544" s="6">
        <v>0.1</v>
      </c>
      <c r="F544" s="6">
        <v>2.5</v>
      </c>
      <c r="G544" s="6">
        <v>0.25</v>
      </c>
      <c r="H544" s="6">
        <v>0.1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8">
        <f t="shared" si="19"/>
        <v>96.3</v>
      </c>
      <c r="U544" s="7">
        <v>25</v>
      </c>
      <c r="V544" s="6">
        <v>25</v>
      </c>
      <c r="W544" s="6">
        <v>0</v>
      </c>
      <c r="X544" s="6" t="s">
        <v>42</v>
      </c>
      <c r="Y544" s="6" t="s">
        <v>35</v>
      </c>
      <c r="Z544" s="6" t="s">
        <v>46</v>
      </c>
      <c r="AA544" s="6" t="s">
        <v>37</v>
      </c>
      <c r="AB544" s="6" t="s">
        <v>149</v>
      </c>
      <c r="AC544" s="6" t="s">
        <v>43</v>
      </c>
      <c r="AD544" s="26" t="s">
        <v>152</v>
      </c>
      <c r="AE544" s="7">
        <v>215</v>
      </c>
      <c r="AF544" s="6">
        <v>260</v>
      </c>
      <c r="AG544" s="10">
        <v>10</v>
      </c>
      <c r="AH544" s="31" t="s">
        <v>54</v>
      </c>
    </row>
    <row r="545" ht="13.9" spans="1:34">
      <c r="A545" s="6">
        <v>5052</v>
      </c>
      <c r="B545" s="7">
        <v>0.25</v>
      </c>
      <c r="C545" s="6">
        <v>0.4</v>
      </c>
      <c r="D545" s="6">
        <v>0.1</v>
      </c>
      <c r="E545" s="6">
        <v>0.1</v>
      </c>
      <c r="F545" s="6">
        <v>2.5</v>
      </c>
      <c r="G545" s="6">
        <v>0.25</v>
      </c>
      <c r="H545" s="6">
        <v>0.1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8">
        <f t="shared" si="19"/>
        <v>96.3</v>
      </c>
      <c r="U545" s="7">
        <v>25</v>
      </c>
      <c r="V545" s="6">
        <v>25</v>
      </c>
      <c r="W545" s="6">
        <v>0</v>
      </c>
      <c r="X545" s="6" t="s">
        <v>42</v>
      </c>
      <c r="Y545" s="6" t="s">
        <v>35</v>
      </c>
      <c r="Z545" s="6" t="s">
        <v>65</v>
      </c>
      <c r="AA545" s="6" t="s">
        <v>37</v>
      </c>
      <c r="AB545" s="6" t="s">
        <v>149</v>
      </c>
      <c r="AC545" s="6" t="s">
        <v>59</v>
      </c>
      <c r="AD545" s="26" t="s">
        <v>153</v>
      </c>
      <c r="AE545" s="7">
        <v>195</v>
      </c>
      <c r="AF545" s="6">
        <v>230</v>
      </c>
      <c r="AG545" s="10">
        <v>16</v>
      </c>
      <c r="AH545" s="31" t="s">
        <v>54</v>
      </c>
    </row>
    <row r="546" ht="13.9" spans="1:34">
      <c r="A546" s="6">
        <v>5052</v>
      </c>
      <c r="B546" s="7">
        <v>0.25</v>
      </c>
      <c r="C546" s="6">
        <v>0.4</v>
      </c>
      <c r="D546" s="6">
        <v>0.1</v>
      </c>
      <c r="E546" s="6">
        <v>0.1</v>
      </c>
      <c r="F546" s="6">
        <v>2.5</v>
      </c>
      <c r="G546" s="6">
        <v>0.25</v>
      </c>
      <c r="H546" s="6">
        <v>0.1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8">
        <f t="shared" si="19"/>
        <v>96.3</v>
      </c>
      <c r="U546" s="7">
        <v>25</v>
      </c>
      <c r="V546" s="6">
        <v>25</v>
      </c>
      <c r="W546" s="6">
        <v>0</v>
      </c>
      <c r="X546" s="6" t="s">
        <v>42</v>
      </c>
      <c r="Y546" s="6" t="s">
        <v>35</v>
      </c>
      <c r="Z546" s="6" t="s">
        <v>65</v>
      </c>
      <c r="AA546" s="6" t="s">
        <v>37</v>
      </c>
      <c r="AB546" s="6" t="s">
        <v>149</v>
      </c>
      <c r="AC546" s="6" t="s">
        <v>43</v>
      </c>
      <c r="AD546" s="26" t="s">
        <v>153</v>
      </c>
      <c r="AE546" s="7">
        <v>195</v>
      </c>
      <c r="AF546" s="6">
        <v>230</v>
      </c>
      <c r="AG546" s="10">
        <v>12</v>
      </c>
      <c r="AH546" s="31" t="s">
        <v>54</v>
      </c>
    </row>
    <row r="547" ht="13.9" spans="1:34">
      <c r="A547" s="6">
        <v>5052</v>
      </c>
      <c r="B547" s="7">
        <v>0.25</v>
      </c>
      <c r="C547" s="6">
        <v>0.4</v>
      </c>
      <c r="D547" s="6">
        <v>0.1</v>
      </c>
      <c r="E547" s="6">
        <v>0.1</v>
      </c>
      <c r="F547" s="6">
        <v>2.5</v>
      </c>
      <c r="G547" s="6">
        <v>0.25</v>
      </c>
      <c r="H547" s="6">
        <v>0.1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8">
        <f t="shared" si="19"/>
        <v>96.3</v>
      </c>
      <c r="U547" s="7">
        <v>345</v>
      </c>
      <c r="V547" s="6">
        <v>25</v>
      </c>
      <c r="W547" s="6">
        <v>0</v>
      </c>
      <c r="X547" s="6" t="s">
        <v>42</v>
      </c>
      <c r="Y547" s="6" t="s">
        <v>50</v>
      </c>
      <c r="Z547" s="6" t="s">
        <v>37</v>
      </c>
      <c r="AA547" s="6" t="s">
        <v>37</v>
      </c>
      <c r="AB547" s="6" t="s">
        <v>37</v>
      </c>
      <c r="AC547" s="6" t="s">
        <v>59</v>
      </c>
      <c r="AD547" s="26" t="s">
        <v>57</v>
      </c>
      <c r="AE547" s="7">
        <v>90</v>
      </c>
      <c r="AF547" s="6">
        <v>195</v>
      </c>
      <c r="AG547" s="10">
        <v>27</v>
      </c>
      <c r="AH547" s="31" t="s">
        <v>54</v>
      </c>
    </row>
    <row r="548" ht="13.9" spans="1:34">
      <c r="A548" s="6">
        <v>5052</v>
      </c>
      <c r="B548" s="7">
        <v>0.25</v>
      </c>
      <c r="C548" s="6">
        <v>0.4</v>
      </c>
      <c r="D548" s="6">
        <v>0.1</v>
      </c>
      <c r="E548" s="6">
        <v>0.1</v>
      </c>
      <c r="F548" s="6">
        <v>2.5</v>
      </c>
      <c r="G548" s="6">
        <v>0.25</v>
      </c>
      <c r="H548" s="6">
        <v>0.1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8">
        <f t="shared" si="19"/>
        <v>96.3</v>
      </c>
      <c r="U548" s="7">
        <v>345</v>
      </c>
      <c r="V548" s="6">
        <v>25</v>
      </c>
      <c r="W548" s="6">
        <v>0</v>
      </c>
      <c r="X548" s="6" t="s">
        <v>42</v>
      </c>
      <c r="Y548" s="6" t="s">
        <v>50</v>
      </c>
      <c r="Z548" s="6" t="s">
        <v>37</v>
      </c>
      <c r="AA548" s="6" t="s">
        <v>37</v>
      </c>
      <c r="AB548" s="6" t="s">
        <v>37</v>
      </c>
      <c r="AC548" s="6" t="s">
        <v>43</v>
      </c>
      <c r="AD548" s="26" t="s">
        <v>57</v>
      </c>
      <c r="AE548" s="7">
        <v>90</v>
      </c>
      <c r="AF548" s="6">
        <v>195</v>
      </c>
      <c r="AG548" s="10">
        <v>25</v>
      </c>
      <c r="AH548" s="31" t="s">
        <v>54</v>
      </c>
    </row>
    <row r="549" ht="13.9" spans="1:34">
      <c r="A549" s="6">
        <v>5052</v>
      </c>
      <c r="B549" s="7">
        <v>0.25</v>
      </c>
      <c r="C549" s="6">
        <v>0.4</v>
      </c>
      <c r="D549" s="6">
        <v>0.1</v>
      </c>
      <c r="E549" s="6">
        <v>0.1</v>
      </c>
      <c r="F549" s="6">
        <v>2.5</v>
      </c>
      <c r="G549" s="6">
        <v>0.25</v>
      </c>
      <c r="H549" s="6">
        <v>0.1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8">
        <f t="shared" si="19"/>
        <v>96.3</v>
      </c>
      <c r="U549" s="7">
        <v>345</v>
      </c>
      <c r="V549" s="6">
        <v>25</v>
      </c>
      <c r="W549" s="6">
        <v>0</v>
      </c>
      <c r="X549" s="6" t="s">
        <v>53</v>
      </c>
      <c r="Y549" s="6" t="s">
        <v>50</v>
      </c>
      <c r="Z549" s="6" t="s">
        <v>37</v>
      </c>
      <c r="AA549" s="6" t="s">
        <v>37</v>
      </c>
      <c r="AB549" s="6" t="s">
        <v>37</v>
      </c>
      <c r="AC549" s="6" t="s">
        <v>53</v>
      </c>
      <c r="AD549" s="26" t="s">
        <v>57</v>
      </c>
      <c r="AE549" s="7">
        <v>90</v>
      </c>
      <c r="AF549" s="6">
        <v>193</v>
      </c>
      <c r="AG549" s="10">
        <v>30</v>
      </c>
      <c r="AH549" s="31" t="s">
        <v>54</v>
      </c>
    </row>
    <row r="550" ht="13.9" spans="1:34">
      <c r="A550" s="6">
        <v>5052</v>
      </c>
      <c r="B550" s="7">
        <v>0.05</v>
      </c>
      <c r="C550" s="6">
        <v>0.04</v>
      </c>
      <c r="D550" s="6">
        <v>0.01</v>
      </c>
      <c r="E550" s="6">
        <v>0.01</v>
      </c>
      <c r="F550" s="6">
        <v>2.48</v>
      </c>
      <c r="G550" s="6">
        <v>0.29</v>
      </c>
      <c r="H550" s="6">
        <v>0.01</v>
      </c>
      <c r="I550" s="6">
        <v>0</v>
      </c>
      <c r="J550" s="6">
        <v>0.003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8">
        <f t="shared" si="19"/>
        <v>97.107</v>
      </c>
      <c r="U550" s="7">
        <v>25</v>
      </c>
      <c r="V550" s="6">
        <v>25</v>
      </c>
      <c r="W550" s="6">
        <v>0</v>
      </c>
      <c r="X550" s="6" t="s">
        <v>42</v>
      </c>
      <c r="Y550" s="6" t="s">
        <v>35</v>
      </c>
      <c r="Z550" s="6" t="s">
        <v>36</v>
      </c>
      <c r="AA550" s="6" t="s">
        <v>37</v>
      </c>
      <c r="AB550" s="6" t="s">
        <v>37</v>
      </c>
      <c r="AC550" s="6" t="s">
        <v>43</v>
      </c>
      <c r="AD550" s="26" t="s">
        <v>39</v>
      </c>
      <c r="AE550" s="7" t="s">
        <v>40</v>
      </c>
      <c r="AF550" s="6">
        <v>263</v>
      </c>
      <c r="AG550" s="10">
        <v>6.06</v>
      </c>
      <c r="AH550" s="31" t="s">
        <v>157</v>
      </c>
    </row>
    <row r="551" ht="13.9" spans="1:34">
      <c r="A551" s="6">
        <v>5052</v>
      </c>
      <c r="B551" s="7">
        <v>0.05</v>
      </c>
      <c r="C551" s="6">
        <v>0.05</v>
      </c>
      <c r="D551" s="6">
        <v>0.01</v>
      </c>
      <c r="E551" s="6">
        <v>0.01</v>
      </c>
      <c r="F551" s="6">
        <v>2.52</v>
      </c>
      <c r="G551" s="6">
        <v>0.21</v>
      </c>
      <c r="H551" s="6">
        <v>0.01</v>
      </c>
      <c r="I551" s="6">
        <v>0</v>
      </c>
      <c r="J551" s="6">
        <v>0.003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8">
        <f t="shared" si="19"/>
        <v>97.137</v>
      </c>
      <c r="U551" s="7">
        <v>25</v>
      </c>
      <c r="V551" s="6">
        <v>25</v>
      </c>
      <c r="W551" s="6">
        <v>0</v>
      </c>
      <c r="X551" s="6" t="s">
        <v>42</v>
      </c>
      <c r="Y551" s="6" t="s">
        <v>35</v>
      </c>
      <c r="Z551" s="6" t="s">
        <v>36</v>
      </c>
      <c r="AA551" s="6" t="s">
        <v>37</v>
      </c>
      <c r="AB551" s="6" t="s">
        <v>37</v>
      </c>
      <c r="AC551" s="6" t="s">
        <v>43</v>
      </c>
      <c r="AD551" s="26" t="s">
        <v>39</v>
      </c>
      <c r="AE551" s="7" t="s">
        <v>40</v>
      </c>
      <c r="AF551" s="6">
        <v>250</v>
      </c>
      <c r="AG551" s="10">
        <v>7.54</v>
      </c>
      <c r="AH551" s="31" t="s">
        <v>157</v>
      </c>
    </row>
    <row r="552" ht="13.9" spans="1:34">
      <c r="A552" s="6">
        <v>5052</v>
      </c>
      <c r="B552" s="7">
        <v>0.05</v>
      </c>
      <c r="C552" s="6">
        <v>0.05</v>
      </c>
      <c r="D552" s="6">
        <v>0.01</v>
      </c>
      <c r="E552" s="6">
        <v>0.01</v>
      </c>
      <c r="F552" s="6">
        <v>2.47</v>
      </c>
      <c r="G552" s="6">
        <v>0.1</v>
      </c>
      <c r="H552" s="6">
        <v>0.02</v>
      </c>
      <c r="I552" s="6">
        <v>0</v>
      </c>
      <c r="J552" s="6">
        <v>0.003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8">
        <f t="shared" si="19"/>
        <v>97.287</v>
      </c>
      <c r="U552" s="7">
        <v>25</v>
      </c>
      <c r="V552" s="6">
        <v>25</v>
      </c>
      <c r="W552" s="6">
        <v>0</v>
      </c>
      <c r="X552" s="6" t="s">
        <v>42</v>
      </c>
      <c r="Y552" s="6" t="s">
        <v>35</v>
      </c>
      <c r="Z552" s="6" t="s">
        <v>36</v>
      </c>
      <c r="AA552" s="6" t="s">
        <v>37</v>
      </c>
      <c r="AB552" s="6" t="s">
        <v>37</v>
      </c>
      <c r="AC552" s="6" t="s">
        <v>43</v>
      </c>
      <c r="AD552" s="26" t="s">
        <v>39</v>
      </c>
      <c r="AE552" s="7" t="s">
        <v>40</v>
      </c>
      <c r="AF552" s="6">
        <v>237</v>
      </c>
      <c r="AG552" s="10">
        <v>8.5</v>
      </c>
      <c r="AH552" s="31" t="s">
        <v>157</v>
      </c>
    </row>
    <row r="553" ht="13.9" spans="1:34">
      <c r="A553" s="6">
        <v>5052</v>
      </c>
      <c r="B553" s="7">
        <v>0.05</v>
      </c>
      <c r="C553" s="6">
        <v>0.04</v>
      </c>
      <c r="D553" s="6">
        <v>0.01</v>
      </c>
      <c r="E553" s="6">
        <v>0.01</v>
      </c>
      <c r="F553" s="6">
        <v>2.48</v>
      </c>
      <c r="G553" s="6">
        <v>0.29</v>
      </c>
      <c r="H553" s="6">
        <v>0.01</v>
      </c>
      <c r="I553" s="6">
        <v>0</v>
      </c>
      <c r="J553" s="6">
        <v>0.003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8">
        <f t="shared" si="19"/>
        <v>97.107</v>
      </c>
      <c r="U553" s="7">
        <v>350</v>
      </c>
      <c r="V553" s="6">
        <v>25</v>
      </c>
      <c r="W553" s="6">
        <v>0</v>
      </c>
      <c r="X553" s="6" t="s">
        <v>42</v>
      </c>
      <c r="Y553" s="6" t="s">
        <v>50</v>
      </c>
      <c r="Z553" s="6" t="s">
        <v>37</v>
      </c>
      <c r="AA553" s="6" t="s">
        <v>37</v>
      </c>
      <c r="AB553" s="6" t="s">
        <v>37</v>
      </c>
      <c r="AC553" s="6" t="s">
        <v>43</v>
      </c>
      <c r="AD553" s="26" t="s">
        <v>57</v>
      </c>
      <c r="AE553" s="7" t="s">
        <v>40</v>
      </c>
      <c r="AF553" s="6">
        <v>178</v>
      </c>
      <c r="AG553" s="10">
        <v>22.74</v>
      </c>
      <c r="AH553" s="31" t="s">
        <v>157</v>
      </c>
    </row>
    <row r="554" ht="13.9" spans="1:34">
      <c r="A554" s="6">
        <v>5052</v>
      </c>
      <c r="B554" s="7">
        <v>0.05</v>
      </c>
      <c r="C554" s="6">
        <v>0.05</v>
      </c>
      <c r="D554" s="6">
        <v>0.01</v>
      </c>
      <c r="E554" s="6">
        <v>0.01</v>
      </c>
      <c r="F554" s="6">
        <v>2.52</v>
      </c>
      <c r="G554" s="6">
        <v>0.21</v>
      </c>
      <c r="H554" s="6">
        <v>0.01</v>
      </c>
      <c r="I554" s="6">
        <v>0</v>
      </c>
      <c r="J554" s="6">
        <v>0.003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8">
        <f t="shared" si="19"/>
        <v>97.137</v>
      </c>
      <c r="U554" s="7">
        <v>350</v>
      </c>
      <c r="V554" s="6">
        <v>25</v>
      </c>
      <c r="W554" s="6">
        <v>0</v>
      </c>
      <c r="X554" s="6" t="s">
        <v>42</v>
      </c>
      <c r="Y554" s="6" t="s">
        <v>50</v>
      </c>
      <c r="Z554" s="6" t="s">
        <v>37</v>
      </c>
      <c r="AA554" s="6" t="s">
        <v>37</v>
      </c>
      <c r="AB554" s="6" t="s">
        <v>37</v>
      </c>
      <c r="AC554" s="6" t="s">
        <v>43</v>
      </c>
      <c r="AD554" s="26" t="s">
        <v>57</v>
      </c>
      <c r="AE554" s="7" t="s">
        <v>40</v>
      </c>
      <c r="AF554" s="6">
        <v>171</v>
      </c>
      <c r="AG554" s="10">
        <v>24.43</v>
      </c>
      <c r="AH554" s="31" t="s">
        <v>157</v>
      </c>
    </row>
    <row r="555" ht="13.9" spans="1:34">
      <c r="A555" s="6">
        <v>5052</v>
      </c>
      <c r="B555" s="7">
        <v>0.05</v>
      </c>
      <c r="C555" s="6">
        <v>0.05</v>
      </c>
      <c r="D555" s="6">
        <v>0.01</v>
      </c>
      <c r="E555" s="6">
        <v>0.01</v>
      </c>
      <c r="F555" s="6">
        <v>2.47</v>
      </c>
      <c r="G555" s="6">
        <v>0.1</v>
      </c>
      <c r="H555" s="6">
        <v>0.02</v>
      </c>
      <c r="I555" s="6">
        <v>0</v>
      </c>
      <c r="J555" s="6">
        <v>0.003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8">
        <f t="shared" si="19"/>
        <v>97.287</v>
      </c>
      <c r="U555" s="7">
        <v>350</v>
      </c>
      <c r="V555" s="6">
        <v>25</v>
      </c>
      <c r="W555" s="6">
        <v>0</v>
      </c>
      <c r="X555" s="6" t="s">
        <v>42</v>
      </c>
      <c r="Y555" s="6" t="s">
        <v>50</v>
      </c>
      <c r="Z555" s="6" t="s">
        <v>37</v>
      </c>
      <c r="AA555" s="6" t="s">
        <v>37</v>
      </c>
      <c r="AB555" s="6" t="s">
        <v>37</v>
      </c>
      <c r="AC555" s="6" t="s">
        <v>43</v>
      </c>
      <c r="AD555" s="26" t="s">
        <v>57</v>
      </c>
      <c r="AE555" s="7" t="s">
        <v>40</v>
      </c>
      <c r="AF555" s="6">
        <v>162</v>
      </c>
      <c r="AG555" s="10">
        <v>24.36</v>
      </c>
      <c r="AH555" s="31" t="s">
        <v>157</v>
      </c>
    </row>
    <row r="556" ht="13.9" spans="1:34">
      <c r="A556" s="6">
        <v>5052</v>
      </c>
      <c r="B556" s="7">
        <v>1</v>
      </c>
      <c r="C556" s="6">
        <v>0.17</v>
      </c>
      <c r="D556" s="6">
        <v>0.01</v>
      </c>
      <c r="E556" s="6">
        <v>0.1</v>
      </c>
      <c r="F556" s="6">
        <v>2.5</v>
      </c>
      <c r="G556" s="6">
        <v>0.2</v>
      </c>
      <c r="H556" s="6">
        <v>0.01</v>
      </c>
      <c r="I556" s="6">
        <v>0</v>
      </c>
      <c r="J556" s="6">
        <v>0.003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8">
        <f t="shared" si="19"/>
        <v>96.007</v>
      </c>
      <c r="U556" s="7">
        <v>25</v>
      </c>
      <c r="V556" s="6">
        <v>25</v>
      </c>
      <c r="W556" s="6">
        <v>0</v>
      </c>
      <c r="X556" s="6" t="s">
        <v>42</v>
      </c>
      <c r="Y556" s="6" t="s">
        <v>35</v>
      </c>
      <c r="Z556" s="6" t="s">
        <v>36</v>
      </c>
      <c r="AA556" s="6" t="s">
        <v>37</v>
      </c>
      <c r="AB556" s="6" t="s">
        <v>37</v>
      </c>
      <c r="AC556" s="6" t="s">
        <v>43</v>
      </c>
      <c r="AD556" s="26" t="s">
        <v>39</v>
      </c>
      <c r="AE556" s="7" t="s">
        <v>40</v>
      </c>
      <c r="AF556" s="6">
        <v>267</v>
      </c>
      <c r="AG556" s="34">
        <v>6.74</v>
      </c>
      <c r="AH556" s="31" t="s">
        <v>158</v>
      </c>
    </row>
    <row r="557" ht="13.9" spans="1:34">
      <c r="A557" s="6">
        <v>5052</v>
      </c>
      <c r="B557" s="7">
        <v>0.05</v>
      </c>
      <c r="C557" s="6">
        <v>0.05</v>
      </c>
      <c r="D557" s="6">
        <v>0.01</v>
      </c>
      <c r="E557" s="6">
        <v>0.1</v>
      </c>
      <c r="F557" s="6">
        <v>2.5</v>
      </c>
      <c r="G557" s="6">
        <v>0.01</v>
      </c>
      <c r="H557" s="6">
        <v>0.01</v>
      </c>
      <c r="I557" s="6">
        <v>0</v>
      </c>
      <c r="J557" s="6">
        <v>0.003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8">
        <f t="shared" si="19"/>
        <v>97.267</v>
      </c>
      <c r="U557" s="7">
        <v>25</v>
      </c>
      <c r="V557" s="6">
        <v>25</v>
      </c>
      <c r="W557" s="6">
        <v>0</v>
      </c>
      <c r="X557" s="6" t="s">
        <v>42</v>
      </c>
      <c r="Y557" s="6" t="s">
        <v>35</v>
      </c>
      <c r="Z557" s="6" t="s">
        <v>36</v>
      </c>
      <c r="AA557" s="6" t="s">
        <v>37</v>
      </c>
      <c r="AB557" s="6" t="s">
        <v>37</v>
      </c>
      <c r="AC557" s="6" t="s">
        <v>43</v>
      </c>
      <c r="AD557" s="26" t="s">
        <v>39</v>
      </c>
      <c r="AE557" s="7" t="s">
        <v>40</v>
      </c>
      <c r="AF557" s="6">
        <v>266</v>
      </c>
      <c r="AG557" s="10">
        <v>9.19</v>
      </c>
      <c r="AH557" s="31" t="s">
        <v>158</v>
      </c>
    </row>
    <row r="558" ht="13.9" spans="1:34">
      <c r="A558" s="6">
        <v>5052</v>
      </c>
      <c r="B558" s="7">
        <v>1</v>
      </c>
      <c r="C558" s="6">
        <v>0.17</v>
      </c>
      <c r="D558" s="6">
        <v>0.01</v>
      </c>
      <c r="E558" s="6">
        <v>0.1</v>
      </c>
      <c r="F558" s="6">
        <v>2.5</v>
      </c>
      <c r="G558" s="6">
        <v>0.2</v>
      </c>
      <c r="H558" s="6">
        <v>0.01</v>
      </c>
      <c r="I558" s="6">
        <v>0</v>
      </c>
      <c r="J558" s="6">
        <v>0.003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8">
        <f t="shared" si="19"/>
        <v>96.007</v>
      </c>
      <c r="U558" s="7">
        <v>350</v>
      </c>
      <c r="V558" s="6">
        <v>25</v>
      </c>
      <c r="W558" s="6">
        <v>0</v>
      </c>
      <c r="X558" s="6" t="s">
        <v>42</v>
      </c>
      <c r="Y558" s="6" t="s">
        <v>50</v>
      </c>
      <c r="Z558" s="6" t="s">
        <v>37</v>
      </c>
      <c r="AA558" s="6" t="s">
        <v>37</v>
      </c>
      <c r="AB558" s="6" t="s">
        <v>37</v>
      </c>
      <c r="AC558" s="6" t="s">
        <v>43</v>
      </c>
      <c r="AD558" s="26" t="s">
        <v>57</v>
      </c>
      <c r="AE558" s="7" t="s">
        <v>40</v>
      </c>
      <c r="AF558" s="6">
        <v>254</v>
      </c>
      <c r="AG558" s="10">
        <v>9.68</v>
      </c>
      <c r="AH558" s="31" t="s">
        <v>158</v>
      </c>
    </row>
    <row r="559" ht="13.9" spans="1:34">
      <c r="A559" s="6">
        <v>5052</v>
      </c>
      <c r="B559" s="7">
        <v>1</v>
      </c>
      <c r="C559" s="6">
        <v>0.17</v>
      </c>
      <c r="D559" s="6">
        <v>0.01</v>
      </c>
      <c r="E559" s="6">
        <v>0.1</v>
      </c>
      <c r="F559" s="6">
        <v>2.5</v>
      </c>
      <c r="G559" s="6">
        <v>0.2</v>
      </c>
      <c r="H559" s="6">
        <v>0.01</v>
      </c>
      <c r="I559" s="6">
        <v>0</v>
      </c>
      <c r="J559" s="6">
        <v>0.003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8">
        <f t="shared" si="19"/>
        <v>96.007</v>
      </c>
      <c r="U559" s="7">
        <v>25</v>
      </c>
      <c r="V559" s="6">
        <v>25</v>
      </c>
      <c r="W559" s="6">
        <v>0</v>
      </c>
      <c r="X559" s="6" t="s">
        <v>42</v>
      </c>
      <c r="Y559" s="6" t="s">
        <v>35</v>
      </c>
      <c r="Z559" s="6" t="s">
        <v>37</v>
      </c>
      <c r="AA559" s="6" t="s">
        <v>37</v>
      </c>
      <c r="AB559" s="6" t="s">
        <v>37</v>
      </c>
      <c r="AC559" s="6" t="s">
        <v>43</v>
      </c>
      <c r="AD559" s="26" t="s">
        <v>52</v>
      </c>
      <c r="AE559" s="7" t="s">
        <v>40</v>
      </c>
      <c r="AF559" s="6">
        <v>193</v>
      </c>
      <c r="AG559" s="10">
        <v>26.12</v>
      </c>
      <c r="AH559" s="31" t="s">
        <v>158</v>
      </c>
    </row>
    <row r="560" ht="13.9" spans="1:34">
      <c r="A560" s="6">
        <v>5052</v>
      </c>
      <c r="B560" s="7">
        <v>0.05</v>
      </c>
      <c r="C560" s="6">
        <v>0.05</v>
      </c>
      <c r="D560" s="6">
        <v>0.01</v>
      </c>
      <c r="E560" s="6">
        <v>0.1</v>
      </c>
      <c r="F560" s="6">
        <v>2.5</v>
      </c>
      <c r="G560" s="6">
        <v>0.01</v>
      </c>
      <c r="H560" s="6">
        <v>0.01</v>
      </c>
      <c r="I560" s="6">
        <v>0</v>
      </c>
      <c r="J560" s="6">
        <v>0.003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8">
        <f t="shared" si="19"/>
        <v>97.267</v>
      </c>
      <c r="U560" s="7">
        <v>25</v>
      </c>
      <c r="V560" s="6">
        <v>25</v>
      </c>
      <c r="W560" s="6">
        <v>0</v>
      </c>
      <c r="X560" s="6" t="s">
        <v>42</v>
      </c>
      <c r="Y560" s="6" t="s">
        <v>35</v>
      </c>
      <c r="Z560" s="6" t="s">
        <v>37</v>
      </c>
      <c r="AA560" s="6" t="s">
        <v>37</v>
      </c>
      <c r="AB560" s="6" t="s">
        <v>37</v>
      </c>
      <c r="AC560" s="6" t="s">
        <v>43</v>
      </c>
      <c r="AD560" s="26" t="s">
        <v>52</v>
      </c>
      <c r="AE560" s="7" t="s">
        <v>40</v>
      </c>
      <c r="AF560" s="6">
        <v>185</v>
      </c>
      <c r="AG560" s="10">
        <v>33.08</v>
      </c>
      <c r="AH560" s="31" t="s">
        <v>158</v>
      </c>
    </row>
    <row r="561" s="3" customFormat="1" ht="13.9" spans="1:34">
      <c r="A561" s="3">
        <v>5052</v>
      </c>
      <c r="B561" s="16">
        <v>0.05</v>
      </c>
      <c r="C561" s="3">
        <v>0.05</v>
      </c>
      <c r="D561" s="3">
        <v>0.01</v>
      </c>
      <c r="E561" s="3">
        <v>0.1</v>
      </c>
      <c r="F561" s="3">
        <v>2.5</v>
      </c>
      <c r="G561" s="3">
        <v>0.01</v>
      </c>
      <c r="H561" s="3">
        <v>0.01</v>
      </c>
      <c r="I561" s="3">
        <v>0</v>
      </c>
      <c r="J561" s="3">
        <v>0.003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22">
        <f t="shared" si="19"/>
        <v>97.267</v>
      </c>
      <c r="U561" s="16">
        <v>350</v>
      </c>
      <c r="V561" s="3">
        <v>25</v>
      </c>
      <c r="W561" s="3">
        <v>0</v>
      </c>
      <c r="X561" s="3" t="s">
        <v>42</v>
      </c>
      <c r="Y561" s="3" t="s">
        <v>50</v>
      </c>
      <c r="Z561" s="3" t="s">
        <v>37</v>
      </c>
      <c r="AA561" s="3" t="s">
        <v>37</v>
      </c>
      <c r="AB561" s="3" t="s">
        <v>37</v>
      </c>
      <c r="AC561" s="3" t="s">
        <v>43</v>
      </c>
      <c r="AD561" s="27" t="s">
        <v>57</v>
      </c>
      <c r="AE561" s="16" t="s">
        <v>40</v>
      </c>
      <c r="AF561" s="3">
        <v>182</v>
      </c>
      <c r="AG561" s="32">
        <v>33.9</v>
      </c>
      <c r="AH561" s="33" t="s">
        <v>158</v>
      </c>
    </row>
    <row r="562" ht="13.9" spans="1:34">
      <c r="A562" s="6">
        <v>5056</v>
      </c>
      <c r="B562" s="7">
        <v>0.3</v>
      </c>
      <c r="C562" s="6">
        <v>0.4</v>
      </c>
      <c r="D562" s="6">
        <v>0.1</v>
      </c>
      <c r="E562" s="6">
        <v>0.125</v>
      </c>
      <c r="F562" s="6">
        <v>5</v>
      </c>
      <c r="G562" s="6">
        <v>0.125</v>
      </c>
      <c r="H562" s="6">
        <v>0.1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8">
        <f t="shared" ref="T562:T625" si="20">100-SUM(B562:S562)</f>
        <v>93.85</v>
      </c>
      <c r="U562" s="7">
        <v>25</v>
      </c>
      <c r="V562" s="6">
        <v>25</v>
      </c>
      <c r="W562" s="6">
        <v>0</v>
      </c>
      <c r="X562" s="6" t="s">
        <v>42</v>
      </c>
      <c r="Y562" s="6" t="s">
        <v>35</v>
      </c>
      <c r="Z562" s="6" t="s">
        <v>36</v>
      </c>
      <c r="AA562" s="6" t="s">
        <v>37</v>
      </c>
      <c r="AB562" s="6" t="s">
        <v>37</v>
      </c>
      <c r="AC562" s="6" t="s">
        <v>69</v>
      </c>
      <c r="AD562" s="26" t="s">
        <v>39</v>
      </c>
      <c r="AE562" s="7">
        <v>407</v>
      </c>
      <c r="AF562" s="6">
        <v>434</v>
      </c>
      <c r="AG562" s="10">
        <v>10</v>
      </c>
      <c r="AH562" s="31" t="s">
        <v>54</v>
      </c>
    </row>
    <row r="563" ht="13.9" spans="1:34">
      <c r="A563" s="6">
        <v>5056</v>
      </c>
      <c r="B563" s="7">
        <v>0.3</v>
      </c>
      <c r="C563" s="6">
        <v>0.4</v>
      </c>
      <c r="D563" s="6">
        <v>0.1</v>
      </c>
      <c r="E563" s="6">
        <v>0.125</v>
      </c>
      <c r="F563" s="6">
        <v>5</v>
      </c>
      <c r="G563" s="6">
        <v>0.125</v>
      </c>
      <c r="H563" s="6">
        <v>0.1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8">
        <f t="shared" si="20"/>
        <v>93.85</v>
      </c>
      <c r="U563" s="7">
        <v>25</v>
      </c>
      <c r="V563" s="6">
        <v>25</v>
      </c>
      <c r="W563" s="6">
        <v>0</v>
      </c>
      <c r="X563" s="6" t="s">
        <v>42</v>
      </c>
      <c r="Y563" s="6" t="s">
        <v>35</v>
      </c>
      <c r="Z563" s="6" t="s">
        <v>36</v>
      </c>
      <c r="AA563" s="6" t="s">
        <v>37</v>
      </c>
      <c r="AB563" s="6" t="s">
        <v>149</v>
      </c>
      <c r="AC563" s="6" t="s">
        <v>69</v>
      </c>
      <c r="AD563" s="26" t="s">
        <v>150</v>
      </c>
      <c r="AE563" s="7">
        <v>345</v>
      </c>
      <c r="AF563" s="6">
        <v>414</v>
      </c>
      <c r="AG563" s="10">
        <v>15</v>
      </c>
      <c r="AH563" s="31" t="s">
        <v>54</v>
      </c>
    </row>
    <row r="564" ht="13.9" spans="1:34">
      <c r="A564" s="6">
        <v>5056</v>
      </c>
      <c r="B564" s="7">
        <v>0.3</v>
      </c>
      <c r="C564" s="6">
        <v>0.4</v>
      </c>
      <c r="D564" s="6">
        <v>0.1</v>
      </c>
      <c r="E564" s="6">
        <v>0.125</v>
      </c>
      <c r="F564" s="6">
        <v>5</v>
      </c>
      <c r="G564" s="6">
        <v>0.125</v>
      </c>
      <c r="H564" s="6">
        <v>0.1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8">
        <f t="shared" si="20"/>
        <v>93.85</v>
      </c>
      <c r="U564" s="7">
        <v>25</v>
      </c>
      <c r="V564" s="6">
        <v>25</v>
      </c>
      <c r="W564" s="6">
        <v>0</v>
      </c>
      <c r="X564" s="6" t="s">
        <v>53</v>
      </c>
      <c r="Y564" s="6" t="s">
        <v>35</v>
      </c>
      <c r="Z564" s="6" t="s">
        <v>36</v>
      </c>
      <c r="AA564" s="6" t="s">
        <v>37</v>
      </c>
      <c r="AB564" s="6" t="s">
        <v>149</v>
      </c>
      <c r="AC564" s="6" t="s">
        <v>53</v>
      </c>
      <c r="AD564" s="26" t="s">
        <v>150</v>
      </c>
      <c r="AE564" s="7">
        <v>345</v>
      </c>
      <c r="AF564" s="6">
        <v>414</v>
      </c>
      <c r="AG564" s="10">
        <v>15</v>
      </c>
      <c r="AH564" s="31" t="s">
        <v>54</v>
      </c>
    </row>
    <row r="565" ht="13.9" spans="1:34">
      <c r="A565" s="6">
        <v>5056</v>
      </c>
      <c r="B565" s="7">
        <v>0.3</v>
      </c>
      <c r="C565" s="6">
        <v>0.4</v>
      </c>
      <c r="D565" s="6">
        <v>0.1</v>
      </c>
      <c r="E565" s="6">
        <v>0.125</v>
      </c>
      <c r="F565" s="6">
        <v>5</v>
      </c>
      <c r="G565" s="6">
        <v>0.125</v>
      </c>
      <c r="H565" s="6">
        <v>0.1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8">
        <f t="shared" si="20"/>
        <v>93.85</v>
      </c>
      <c r="U565" s="7">
        <v>415</v>
      </c>
      <c r="V565" s="6">
        <v>25</v>
      </c>
      <c r="W565" s="6">
        <v>0</v>
      </c>
      <c r="X565" s="6" t="s">
        <v>42</v>
      </c>
      <c r="Y565" s="6" t="s">
        <v>50</v>
      </c>
      <c r="Z565" s="6" t="s">
        <v>37</v>
      </c>
      <c r="AA565" s="6" t="s">
        <v>37</v>
      </c>
      <c r="AB565" s="6" t="s">
        <v>37</v>
      </c>
      <c r="AC565" s="6" t="s">
        <v>69</v>
      </c>
      <c r="AD565" s="26" t="s">
        <v>57</v>
      </c>
      <c r="AE565" s="7">
        <v>152</v>
      </c>
      <c r="AF565" s="6">
        <v>290</v>
      </c>
      <c r="AG565" s="10">
        <v>35</v>
      </c>
      <c r="AH565" s="31" t="s">
        <v>54</v>
      </c>
    </row>
    <row r="566" s="3" customFormat="1" ht="13.9" spans="1:34">
      <c r="A566" s="3">
        <v>5056</v>
      </c>
      <c r="B566" s="16">
        <v>0.3</v>
      </c>
      <c r="C566" s="3">
        <v>0.4</v>
      </c>
      <c r="D566" s="3">
        <v>0.1</v>
      </c>
      <c r="E566" s="3">
        <v>0.125</v>
      </c>
      <c r="F566" s="3">
        <v>5</v>
      </c>
      <c r="G566" s="3">
        <v>0.125</v>
      </c>
      <c r="H566" s="3">
        <v>0.1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22">
        <f t="shared" si="20"/>
        <v>93.85</v>
      </c>
      <c r="U566" s="16">
        <v>415</v>
      </c>
      <c r="V566" s="3">
        <v>25</v>
      </c>
      <c r="W566" s="3">
        <v>0</v>
      </c>
      <c r="X566" s="3" t="s">
        <v>53</v>
      </c>
      <c r="Y566" s="3" t="s">
        <v>50</v>
      </c>
      <c r="Z566" s="3" t="s">
        <v>37</v>
      </c>
      <c r="AA566" s="3" t="s">
        <v>37</v>
      </c>
      <c r="AB566" s="3" t="s">
        <v>37</v>
      </c>
      <c r="AC566" s="3" t="s">
        <v>53</v>
      </c>
      <c r="AD566" s="27" t="s">
        <v>57</v>
      </c>
      <c r="AE566" s="16">
        <v>150</v>
      </c>
      <c r="AF566" s="3">
        <v>290</v>
      </c>
      <c r="AG566" s="38">
        <v>35</v>
      </c>
      <c r="AH566" s="33" t="s">
        <v>54</v>
      </c>
    </row>
    <row r="567" ht="13.9" spans="1:34">
      <c r="A567" s="6">
        <v>5083</v>
      </c>
      <c r="B567" s="7">
        <v>0.55</v>
      </c>
      <c r="C567" s="6">
        <v>0.4</v>
      </c>
      <c r="D567" s="6">
        <v>0.1</v>
      </c>
      <c r="E567" s="6">
        <v>0.7</v>
      </c>
      <c r="F567" s="6">
        <v>4.5</v>
      </c>
      <c r="G567" s="6">
        <v>0.15</v>
      </c>
      <c r="H567" s="6">
        <v>0.25</v>
      </c>
      <c r="I567" s="6">
        <v>0</v>
      </c>
      <c r="J567" s="6">
        <v>0.15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8">
        <f t="shared" si="20"/>
        <v>93.2</v>
      </c>
      <c r="U567" s="7">
        <v>25</v>
      </c>
      <c r="V567" s="6">
        <v>25</v>
      </c>
      <c r="W567" s="6">
        <v>0</v>
      </c>
      <c r="X567" s="6" t="s">
        <v>53</v>
      </c>
      <c r="Y567" s="6" t="s">
        <v>35</v>
      </c>
      <c r="Z567" s="6" t="s">
        <v>46</v>
      </c>
      <c r="AA567" s="6" t="s">
        <v>37</v>
      </c>
      <c r="AB567" s="6" t="s">
        <v>149</v>
      </c>
      <c r="AC567" s="6" t="s">
        <v>53</v>
      </c>
      <c r="AD567" s="26" t="s">
        <v>152</v>
      </c>
      <c r="AE567" s="7">
        <v>305</v>
      </c>
      <c r="AF567" s="6">
        <v>375</v>
      </c>
      <c r="AG567" s="10">
        <v>7</v>
      </c>
      <c r="AH567" s="31" t="s">
        <v>54</v>
      </c>
    </row>
    <row r="568" ht="13.9" spans="1:34">
      <c r="A568" s="6">
        <v>5083</v>
      </c>
      <c r="B568" s="7">
        <v>0.55</v>
      </c>
      <c r="C568" s="6">
        <v>0.4</v>
      </c>
      <c r="D568" s="6">
        <v>0.1</v>
      </c>
      <c r="E568" s="6">
        <v>0.7</v>
      </c>
      <c r="F568" s="6">
        <v>4.5</v>
      </c>
      <c r="G568" s="6">
        <v>0.15</v>
      </c>
      <c r="H568" s="6">
        <v>0.25</v>
      </c>
      <c r="I568" s="6">
        <v>0</v>
      </c>
      <c r="J568" s="6">
        <v>0.15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8">
        <f t="shared" si="20"/>
        <v>93.2</v>
      </c>
      <c r="U568" s="7">
        <v>25</v>
      </c>
      <c r="V568" s="6">
        <v>25</v>
      </c>
      <c r="W568" s="6">
        <v>0</v>
      </c>
      <c r="X568" s="6" t="s">
        <v>53</v>
      </c>
      <c r="Y568" s="6" t="s">
        <v>35</v>
      </c>
      <c r="Z568" s="6" t="s">
        <v>65</v>
      </c>
      <c r="AA568" s="6" t="s">
        <v>37</v>
      </c>
      <c r="AB568" s="6" t="s">
        <v>149</v>
      </c>
      <c r="AC568" s="6" t="s">
        <v>53</v>
      </c>
      <c r="AD568" s="26" t="s">
        <v>153</v>
      </c>
      <c r="AE568" s="7">
        <v>270</v>
      </c>
      <c r="AF568" s="6">
        <v>360</v>
      </c>
      <c r="AG568" s="10">
        <v>9</v>
      </c>
      <c r="AH568" s="31" t="s">
        <v>54</v>
      </c>
    </row>
    <row r="569" ht="13.9" spans="1:34">
      <c r="A569" s="6">
        <v>5083</v>
      </c>
      <c r="B569" s="7">
        <v>0.55</v>
      </c>
      <c r="C569" s="6">
        <v>0.4</v>
      </c>
      <c r="D569" s="6">
        <v>0.1</v>
      </c>
      <c r="E569" s="6">
        <v>0.7</v>
      </c>
      <c r="F569" s="6">
        <v>4.5</v>
      </c>
      <c r="G569" s="6">
        <v>0.15</v>
      </c>
      <c r="H569" s="6">
        <v>0.25</v>
      </c>
      <c r="I569" s="6">
        <v>0</v>
      </c>
      <c r="J569" s="6">
        <v>0.15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8">
        <f t="shared" si="20"/>
        <v>93.2</v>
      </c>
      <c r="U569" s="7">
        <v>25</v>
      </c>
      <c r="V569" s="6">
        <v>25</v>
      </c>
      <c r="W569" s="6">
        <v>0</v>
      </c>
      <c r="X569" s="6" t="s">
        <v>42</v>
      </c>
      <c r="Y569" s="6" t="s">
        <v>35</v>
      </c>
      <c r="Z569" s="6" t="s">
        <v>46</v>
      </c>
      <c r="AA569" s="6" t="s">
        <v>37</v>
      </c>
      <c r="AB569" s="6" t="s">
        <v>149</v>
      </c>
      <c r="AC569" s="6" t="s">
        <v>43</v>
      </c>
      <c r="AD569" s="26" t="s">
        <v>152</v>
      </c>
      <c r="AE569" s="7">
        <v>283</v>
      </c>
      <c r="AF569" s="6">
        <v>345</v>
      </c>
      <c r="AG569" s="10">
        <v>9</v>
      </c>
      <c r="AH569" s="31" t="s">
        <v>54</v>
      </c>
    </row>
    <row r="570" ht="13.9" spans="1:34">
      <c r="A570" s="6">
        <v>5083</v>
      </c>
      <c r="B570" s="7">
        <v>0.55</v>
      </c>
      <c r="C570" s="6">
        <v>0.4</v>
      </c>
      <c r="D570" s="6">
        <v>0.1</v>
      </c>
      <c r="E570" s="6">
        <v>0.7</v>
      </c>
      <c r="F570" s="6">
        <v>4.5</v>
      </c>
      <c r="G570" s="6">
        <v>0.15</v>
      </c>
      <c r="H570" s="6">
        <v>0.25</v>
      </c>
      <c r="I570" s="6">
        <v>0</v>
      </c>
      <c r="J570" s="6">
        <v>0.15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8">
        <f t="shared" si="20"/>
        <v>93.2</v>
      </c>
      <c r="U570" s="7">
        <v>25</v>
      </c>
      <c r="V570" s="6">
        <v>25</v>
      </c>
      <c r="W570" s="6">
        <v>0</v>
      </c>
      <c r="X570" s="6" t="s">
        <v>42</v>
      </c>
      <c r="Y570" s="6" t="s">
        <v>35</v>
      </c>
      <c r="Z570" s="6" t="s">
        <v>65</v>
      </c>
      <c r="AA570" s="6" t="s">
        <v>37</v>
      </c>
      <c r="AB570" s="6" t="s">
        <v>149</v>
      </c>
      <c r="AC570" s="6" t="s">
        <v>59</v>
      </c>
      <c r="AD570" s="26" t="s">
        <v>153</v>
      </c>
      <c r="AE570" s="7">
        <v>251</v>
      </c>
      <c r="AF570" s="6">
        <v>340</v>
      </c>
      <c r="AG570" s="34">
        <v>12</v>
      </c>
      <c r="AH570" s="31" t="s">
        <v>54</v>
      </c>
    </row>
    <row r="571" ht="13.9" spans="1:34">
      <c r="A571" s="6">
        <v>5083</v>
      </c>
      <c r="B571" s="7">
        <v>0.55</v>
      </c>
      <c r="C571" s="6">
        <v>0.4</v>
      </c>
      <c r="D571" s="6">
        <v>0.1</v>
      </c>
      <c r="E571" s="6">
        <v>0.7</v>
      </c>
      <c r="F571" s="6">
        <v>4.5</v>
      </c>
      <c r="G571" s="6">
        <v>0.15</v>
      </c>
      <c r="H571" s="6">
        <v>0.25</v>
      </c>
      <c r="I571" s="6">
        <v>0</v>
      </c>
      <c r="J571" s="6">
        <v>0.15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8">
        <f t="shared" si="20"/>
        <v>93.2</v>
      </c>
      <c r="U571" s="7">
        <v>25</v>
      </c>
      <c r="V571" s="6">
        <v>25</v>
      </c>
      <c r="W571" s="6">
        <v>0</v>
      </c>
      <c r="X571" s="6" t="s">
        <v>42</v>
      </c>
      <c r="Y571" s="6" t="s">
        <v>35</v>
      </c>
      <c r="Z571" s="6" t="s">
        <v>65</v>
      </c>
      <c r="AA571" s="6" t="s">
        <v>37</v>
      </c>
      <c r="AB571" s="6" t="s">
        <v>149</v>
      </c>
      <c r="AC571" s="6" t="s">
        <v>43</v>
      </c>
      <c r="AD571" s="26" t="s">
        <v>153</v>
      </c>
      <c r="AE571" s="7">
        <v>245</v>
      </c>
      <c r="AF571" s="6">
        <v>328</v>
      </c>
      <c r="AG571" s="10">
        <v>12</v>
      </c>
      <c r="AH571" s="31" t="s">
        <v>54</v>
      </c>
    </row>
    <row r="572" ht="13.9" spans="1:34">
      <c r="A572" s="6">
        <v>5083</v>
      </c>
      <c r="B572" s="7">
        <v>0.55</v>
      </c>
      <c r="C572" s="6">
        <v>0.4</v>
      </c>
      <c r="D572" s="6">
        <v>0.1</v>
      </c>
      <c r="E572" s="6">
        <v>0.7</v>
      </c>
      <c r="F572" s="6">
        <v>4.5</v>
      </c>
      <c r="G572" s="6">
        <v>0.15</v>
      </c>
      <c r="H572" s="6">
        <v>0.25</v>
      </c>
      <c r="I572" s="6">
        <v>0</v>
      </c>
      <c r="J572" s="6">
        <v>0.15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8">
        <f t="shared" si="20"/>
        <v>93.2</v>
      </c>
      <c r="U572" s="7">
        <v>25</v>
      </c>
      <c r="V572" s="6">
        <v>25</v>
      </c>
      <c r="W572" s="6">
        <v>0</v>
      </c>
      <c r="X572" s="6" t="s">
        <v>42</v>
      </c>
      <c r="Y572" s="6" t="s">
        <v>35</v>
      </c>
      <c r="Z572" s="6" t="s">
        <v>48</v>
      </c>
      <c r="AA572" s="6" t="s">
        <v>37</v>
      </c>
      <c r="AB572" s="6" t="s">
        <v>37</v>
      </c>
      <c r="AC572" s="6" t="s">
        <v>43</v>
      </c>
      <c r="AD572" s="26" t="s">
        <v>159</v>
      </c>
      <c r="AE572" s="7">
        <v>222</v>
      </c>
      <c r="AF572" s="6">
        <v>311</v>
      </c>
      <c r="AG572" s="34">
        <v>14</v>
      </c>
      <c r="AH572" s="31" t="s">
        <v>54</v>
      </c>
    </row>
    <row r="573" ht="13.9" spans="1:34">
      <c r="A573" s="6">
        <v>5083</v>
      </c>
      <c r="B573" s="7">
        <v>0.55</v>
      </c>
      <c r="C573" s="6">
        <v>0.4</v>
      </c>
      <c r="D573" s="6">
        <v>0.1</v>
      </c>
      <c r="E573" s="6">
        <v>0.7</v>
      </c>
      <c r="F573" s="6">
        <v>4.5</v>
      </c>
      <c r="G573" s="6">
        <v>0.15</v>
      </c>
      <c r="H573" s="6">
        <v>0.25</v>
      </c>
      <c r="I573" s="6">
        <v>0</v>
      </c>
      <c r="J573" s="6">
        <v>0.15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8">
        <f t="shared" si="20"/>
        <v>93.2</v>
      </c>
      <c r="U573" s="7">
        <v>25</v>
      </c>
      <c r="V573" s="6">
        <v>25</v>
      </c>
      <c r="W573" s="6">
        <v>0</v>
      </c>
      <c r="X573" s="6" t="s">
        <v>42</v>
      </c>
      <c r="Y573" s="6" t="s">
        <v>35</v>
      </c>
      <c r="Z573" s="6" t="s">
        <v>67</v>
      </c>
      <c r="AA573" s="6" t="s">
        <v>37</v>
      </c>
      <c r="AB573" s="6" t="s">
        <v>37</v>
      </c>
      <c r="AC573" s="6" t="s">
        <v>43</v>
      </c>
      <c r="AD573" s="26" t="s">
        <v>68</v>
      </c>
      <c r="AE573" s="7">
        <v>193</v>
      </c>
      <c r="AF573" s="6">
        <v>303</v>
      </c>
      <c r="AG573" s="10">
        <v>16</v>
      </c>
      <c r="AH573" s="31" t="s">
        <v>54</v>
      </c>
    </row>
    <row r="574" ht="13.9" spans="1:34">
      <c r="A574" s="6">
        <v>5083</v>
      </c>
      <c r="B574" s="7">
        <v>0.55</v>
      </c>
      <c r="C574" s="6">
        <v>0.4</v>
      </c>
      <c r="D574" s="6">
        <v>0.1</v>
      </c>
      <c r="E574" s="6">
        <v>0.7</v>
      </c>
      <c r="F574" s="6">
        <v>4.5</v>
      </c>
      <c r="G574" s="6">
        <v>0.15</v>
      </c>
      <c r="H574" s="6">
        <v>0.25</v>
      </c>
      <c r="I574" s="6">
        <v>0</v>
      </c>
      <c r="J574" s="6">
        <v>0.15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8">
        <f t="shared" si="20"/>
        <v>93.2</v>
      </c>
      <c r="U574" s="7">
        <v>415</v>
      </c>
      <c r="V574" s="6">
        <v>25</v>
      </c>
      <c r="W574" s="6">
        <v>0</v>
      </c>
      <c r="X574" s="6" t="s">
        <v>42</v>
      </c>
      <c r="Y574" s="6" t="s">
        <v>50</v>
      </c>
      <c r="Z574" s="6" t="s">
        <v>37</v>
      </c>
      <c r="AA574" s="6" t="s">
        <v>37</v>
      </c>
      <c r="AB574" s="6" t="s">
        <v>37</v>
      </c>
      <c r="AC574" s="6" t="s">
        <v>43</v>
      </c>
      <c r="AD574" s="26" t="s">
        <v>57</v>
      </c>
      <c r="AE574" s="7">
        <v>154</v>
      </c>
      <c r="AF574" s="6">
        <v>301</v>
      </c>
      <c r="AG574" s="34">
        <v>19</v>
      </c>
      <c r="AH574" s="31" t="s">
        <v>54</v>
      </c>
    </row>
    <row r="575" ht="13.9" spans="1:34">
      <c r="A575" s="6">
        <v>5083</v>
      </c>
      <c r="B575" s="7">
        <v>0.55</v>
      </c>
      <c r="C575" s="6">
        <v>0.4</v>
      </c>
      <c r="D575" s="6">
        <v>0.1</v>
      </c>
      <c r="E575" s="6">
        <v>0.7</v>
      </c>
      <c r="F575" s="6">
        <v>4.5</v>
      </c>
      <c r="G575" s="6">
        <v>0.15</v>
      </c>
      <c r="H575" s="6">
        <v>0.25</v>
      </c>
      <c r="I575" s="6">
        <v>0</v>
      </c>
      <c r="J575" s="6">
        <v>0.15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8">
        <f t="shared" si="20"/>
        <v>93.2</v>
      </c>
      <c r="U575" s="7">
        <v>25</v>
      </c>
      <c r="V575" s="6">
        <v>25</v>
      </c>
      <c r="W575" s="6">
        <v>0</v>
      </c>
      <c r="X575" s="6" t="s">
        <v>42</v>
      </c>
      <c r="Y575" s="6" t="s">
        <v>35</v>
      </c>
      <c r="Z575" s="6" t="s">
        <v>48</v>
      </c>
      <c r="AA575" s="6" t="s">
        <v>37</v>
      </c>
      <c r="AB575" s="6" t="s">
        <v>37</v>
      </c>
      <c r="AC575" s="6" t="s">
        <v>59</v>
      </c>
      <c r="AD575" s="26" t="s">
        <v>159</v>
      </c>
      <c r="AE575" s="7">
        <v>208</v>
      </c>
      <c r="AF575" s="6">
        <v>295</v>
      </c>
      <c r="AG575" s="34">
        <v>12</v>
      </c>
      <c r="AH575" s="31" t="s">
        <v>54</v>
      </c>
    </row>
    <row r="576" ht="13.9" spans="1:34">
      <c r="A576" s="6">
        <v>5083</v>
      </c>
      <c r="B576" s="7">
        <v>0.55</v>
      </c>
      <c r="C576" s="6">
        <v>0.4</v>
      </c>
      <c r="D576" s="6">
        <v>0.1</v>
      </c>
      <c r="E576" s="6">
        <v>0.7</v>
      </c>
      <c r="F576" s="6">
        <v>4.5</v>
      </c>
      <c r="G576" s="6">
        <v>0.15</v>
      </c>
      <c r="H576" s="6">
        <v>0.25</v>
      </c>
      <c r="I576" s="6">
        <v>0</v>
      </c>
      <c r="J576" s="6">
        <v>0.15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8">
        <f t="shared" si="20"/>
        <v>93.2</v>
      </c>
      <c r="U576" s="7">
        <v>415</v>
      </c>
      <c r="V576" s="6">
        <v>25</v>
      </c>
      <c r="W576" s="6">
        <v>0</v>
      </c>
      <c r="X576" s="6" t="s">
        <v>53</v>
      </c>
      <c r="Y576" s="6" t="s">
        <v>50</v>
      </c>
      <c r="Z576" s="6" t="s">
        <v>37</v>
      </c>
      <c r="AA576" s="6" t="s">
        <v>37</v>
      </c>
      <c r="AB576" s="6" t="s">
        <v>37</v>
      </c>
      <c r="AC576" s="6" t="s">
        <v>53</v>
      </c>
      <c r="AD576" s="26" t="s">
        <v>57</v>
      </c>
      <c r="AE576" s="7">
        <v>145</v>
      </c>
      <c r="AF576" s="6">
        <v>290</v>
      </c>
      <c r="AG576" s="10">
        <v>25</v>
      </c>
      <c r="AH576" s="31" t="s">
        <v>54</v>
      </c>
    </row>
    <row r="577" ht="13.9" spans="1:34">
      <c r="A577" s="6">
        <v>5083</v>
      </c>
      <c r="B577" s="7">
        <v>0.55</v>
      </c>
      <c r="C577" s="6">
        <v>0.4</v>
      </c>
      <c r="D577" s="6">
        <v>0.1</v>
      </c>
      <c r="E577" s="6">
        <v>0.7</v>
      </c>
      <c r="F577" s="6">
        <v>4.5</v>
      </c>
      <c r="G577" s="6">
        <v>0.15</v>
      </c>
      <c r="H577" s="6">
        <v>0.25</v>
      </c>
      <c r="I577" s="6">
        <v>0</v>
      </c>
      <c r="J577" s="6">
        <v>0.15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8">
        <f t="shared" si="20"/>
        <v>93.2</v>
      </c>
      <c r="U577" s="7">
        <v>415</v>
      </c>
      <c r="V577" s="6">
        <v>25</v>
      </c>
      <c r="W577" s="6">
        <v>0</v>
      </c>
      <c r="X577" s="6" t="s">
        <v>42</v>
      </c>
      <c r="Y577" s="6" t="s">
        <v>50</v>
      </c>
      <c r="Z577" s="6" t="s">
        <v>37</v>
      </c>
      <c r="AA577" s="6" t="s">
        <v>37</v>
      </c>
      <c r="AB577" s="6" t="s">
        <v>37</v>
      </c>
      <c r="AC577" s="6" t="s">
        <v>59</v>
      </c>
      <c r="AD577" s="26" t="s">
        <v>57</v>
      </c>
      <c r="AE577" s="7">
        <v>126</v>
      </c>
      <c r="AF577" s="6">
        <v>277</v>
      </c>
      <c r="AG577" s="34">
        <v>14.6</v>
      </c>
      <c r="AH577" s="31" t="s">
        <v>54</v>
      </c>
    </row>
    <row r="578" ht="13.9" spans="1:34">
      <c r="A578" s="6">
        <v>5083</v>
      </c>
      <c r="B578" s="7">
        <v>0.55</v>
      </c>
      <c r="C578" s="6">
        <v>0.4</v>
      </c>
      <c r="D578" s="6">
        <v>0.1</v>
      </c>
      <c r="E578" s="6">
        <v>0.7</v>
      </c>
      <c r="F578" s="6">
        <v>4.5</v>
      </c>
      <c r="G578" s="6">
        <v>0.15</v>
      </c>
      <c r="H578" s="6">
        <v>0.25</v>
      </c>
      <c r="I578" s="6">
        <v>0</v>
      </c>
      <c r="J578" s="6">
        <v>0.15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8">
        <f t="shared" si="20"/>
        <v>93.2</v>
      </c>
      <c r="U578" s="7">
        <v>25</v>
      </c>
      <c r="V578" s="6">
        <v>25</v>
      </c>
      <c r="W578" s="6">
        <v>0</v>
      </c>
      <c r="X578" s="6" t="s">
        <v>42</v>
      </c>
      <c r="Y578" s="6" t="s">
        <v>35</v>
      </c>
      <c r="Z578" s="6" t="s">
        <v>67</v>
      </c>
      <c r="AA578" s="6" t="s">
        <v>37</v>
      </c>
      <c r="AB578" s="6" t="s">
        <v>37</v>
      </c>
      <c r="AC578" s="6" t="s">
        <v>59</v>
      </c>
      <c r="AD578" s="26" t="s">
        <v>68</v>
      </c>
      <c r="AE578" s="7">
        <v>120</v>
      </c>
      <c r="AF578" s="6">
        <v>273</v>
      </c>
      <c r="AG578" s="34">
        <v>12</v>
      </c>
      <c r="AH578" s="31" t="s">
        <v>54</v>
      </c>
    </row>
    <row r="579" ht="13.9" spans="1:34">
      <c r="A579" s="6">
        <v>5083</v>
      </c>
      <c r="B579" s="7">
        <v>0.12</v>
      </c>
      <c r="C579" s="6">
        <v>0.24</v>
      </c>
      <c r="D579" s="6">
        <v>0.05</v>
      </c>
      <c r="E579" s="6">
        <v>0.6</v>
      </c>
      <c r="F579" s="6">
        <v>4.63</v>
      </c>
      <c r="G579" s="6">
        <v>0.11</v>
      </c>
      <c r="H579" s="6">
        <v>0.03</v>
      </c>
      <c r="I579" s="6">
        <v>0</v>
      </c>
      <c r="J579" s="6">
        <v>0.02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8">
        <f t="shared" si="20"/>
        <v>94.2</v>
      </c>
      <c r="U579" s="7">
        <v>415</v>
      </c>
      <c r="V579" s="6">
        <v>25</v>
      </c>
      <c r="W579" s="6">
        <v>0</v>
      </c>
      <c r="X579" s="6" t="s">
        <v>53</v>
      </c>
      <c r="Y579" s="6" t="s">
        <v>50</v>
      </c>
      <c r="Z579" s="6" t="s">
        <v>37</v>
      </c>
      <c r="AA579" s="6" t="s">
        <v>37</v>
      </c>
      <c r="AB579" s="6" t="s">
        <v>37</v>
      </c>
      <c r="AC579" s="6" t="s">
        <v>59</v>
      </c>
      <c r="AD579" s="26" t="s">
        <v>57</v>
      </c>
      <c r="AE579" s="7">
        <v>145</v>
      </c>
      <c r="AF579" s="6">
        <v>309</v>
      </c>
      <c r="AG579" s="34">
        <v>24</v>
      </c>
      <c r="AH579" s="48" t="s">
        <v>160</v>
      </c>
    </row>
    <row r="580" s="3" customFormat="1" ht="13.9" spans="1:34">
      <c r="A580" s="3">
        <v>5083</v>
      </c>
      <c r="B580" s="16">
        <v>0.13</v>
      </c>
      <c r="C580" s="3">
        <v>0.26</v>
      </c>
      <c r="D580" s="3">
        <v>0.04</v>
      </c>
      <c r="E580" s="3">
        <v>0.56</v>
      </c>
      <c r="F580" s="3">
        <v>4.6</v>
      </c>
      <c r="G580" s="3">
        <v>0.1</v>
      </c>
      <c r="H580" s="3">
        <v>0.03</v>
      </c>
      <c r="I580" s="3">
        <v>0</v>
      </c>
      <c r="J580" s="3">
        <v>0.04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22">
        <f t="shared" si="20"/>
        <v>94.24</v>
      </c>
      <c r="U580" s="16">
        <v>415</v>
      </c>
      <c r="V580" s="3">
        <v>25</v>
      </c>
      <c r="W580" s="3">
        <v>0</v>
      </c>
      <c r="X580" s="3" t="s">
        <v>42</v>
      </c>
      <c r="Y580" s="3" t="s">
        <v>50</v>
      </c>
      <c r="Z580" s="3" t="s">
        <v>37</v>
      </c>
      <c r="AA580" s="3" t="s">
        <v>37</v>
      </c>
      <c r="AB580" s="3" t="s">
        <v>37</v>
      </c>
      <c r="AC580" s="3" t="s">
        <v>59</v>
      </c>
      <c r="AD580" s="27" t="s">
        <v>57</v>
      </c>
      <c r="AE580" s="16">
        <v>144</v>
      </c>
      <c r="AF580" s="3">
        <v>303</v>
      </c>
      <c r="AG580" s="38">
        <v>23</v>
      </c>
      <c r="AH580" s="33" t="s">
        <v>161</v>
      </c>
    </row>
    <row r="581" ht="13.9" spans="1:34">
      <c r="A581" s="6">
        <v>5086</v>
      </c>
      <c r="B581" s="7">
        <v>0.4</v>
      </c>
      <c r="C581" s="6">
        <v>0.5</v>
      </c>
      <c r="D581" s="6">
        <v>0.1</v>
      </c>
      <c r="E581" s="6">
        <v>0.45</v>
      </c>
      <c r="F581" s="6">
        <v>4</v>
      </c>
      <c r="G581" s="6">
        <v>0.15</v>
      </c>
      <c r="H581" s="6">
        <v>0.25</v>
      </c>
      <c r="I581" s="6">
        <v>0</v>
      </c>
      <c r="J581" s="6">
        <v>0.15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8">
        <f t="shared" si="20"/>
        <v>94</v>
      </c>
      <c r="U581" s="7">
        <v>25</v>
      </c>
      <c r="V581" s="6">
        <v>25</v>
      </c>
      <c r="W581" s="6">
        <v>0</v>
      </c>
      <c r="X581" s="6" t="s">
        <v>42</v>
      </c>
      <c r="Y581" s="6" t="s">
        <v>35</v>
      </c>
      <c r="Z581" s="6" t="s">
        <v>55</v>
      </c>
      <c r="AA581" s="6" t="s">
        <v>37</v>
      </c>
      <c r="AB581" s="6" t="s">
        <v>149</v>
      </c>
      <c r="AC581" s="6" t="s">
        <v>43</v>
      </c>
      <c r="AD581" s="26" t="s">
        <v>151</v>
      </c>
      <c r="AE581" s="7">
        <v>260</v>
      </c>
      <c r="AF581" s="6">
        <v>347.5</v>
      </c>
      <c r="AG581" s="34">
        <v>4.5</v>
      </c>
      <c r="AH581" s="31" t="s">
        <v>54</v>
      </c>
    </row>
    <row r="582" ht="13.9" spans="1:34">
      <c r="A582" s="6">
        <v>5086</v>
      </c>
      <c r="B582" s="7">
        <v>0.4</v>
      </c>
      <c r="C582" s="6">
        <v>0.5</v>
      </c>
      <c r="D582" s="6">
        <v>0.1</v>
      </c>
      <c r="E582" s="6">
        <v>0.45</v>
      </c>
      <c r="F582" s="6">
        <v>4</v>
      </c>
      <c r="G582" s="6">
        <v>0.15</v>
      </c>
      <c r="H582" s="6">
        <v>0.25</v>
      </c>
      <c r="I582" s="6">
        <v>0</v>
      </c>
      <c r="J582" s="6">
        <v>0.15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8">
        <f t="shared" si="20"/>
        <v>94</v>
      </c>
      <c r="U582" s="7">
        <v>25</v>
      </c>
      <c r="V582" s="6">
        <v>25</v>
      </c>
      <c r="W582" s="6">
        <v>0</v>
      </c>
      <c r="X582" s="6" t="s">
        <v>42</v>
      </c>
      <c r="Y582" s="6" t="s">
        <v>35</v>
      </c>
      <c r="Z582" s="6" t="s">
        <v>36</v>
      </c>
      <c r="AA582" s="6" t="s">
        <v>37</v>
      </c>
      <c r="AB582" s="6" t="s">
        <v>149</v>
      </c>
      <c r="AC582" s="6" t="s">
        <v>43</v>
      </c>
      <c r="AD582" s="26" t="s">
        <v>150</v>
      </c>
      <c r="AE582" s="7">
        <v>285</v>
      </c>
      <c r="AF582" s="6">
        <v>345</v>
      </c>
      <c r="AG582" s="34">
        <v>3</v>
      </c>
      <c r="AH582" s="31" t="s">
        <v>54</v>
      </c>
    </row>
    <row r="583" ht="13.9" spans="1:34">
      <c r="A583" s="6">
        <v>5086</v>
      </c>
      <c r="B583" s="7">
        <v>0.4</v>
      </c>
      <c r="C583" s="6">
        <v>0.5</v>
      </c>
      <c r="D583" s="6">
        <v>0.1</v>
      </c>
      <c r="E583" s="6">
        <v>0.45</v>
      </c>
      <c r="F583" s="6">
        <v>4</v>
      </c>
      <c r="G583" s="6">
        <v>0.15</v>
      </c>
      <c r="H583" s="6">
        <v>0.25</v>
      </c>
      <c r="I583" s="6">
        <v>0</v>
      </c>
      <c r="J583" s="6">
        <v>0.15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8">
        <f t="shared" si="20"/>
        <v>94</v>
      </c>
      <c r="U583" s="7">
        <v>25</v>
      </c>
      <c r="V583" s="6">
        <v>25</v>
      </c>
      <c r="W583" s="6">
        <v>0</v>
      </c>
      <c r="X583" s="6" t="s">
        <v>42</v>
      </c>
      <c r="Y583" s="6" t="s">
        <v>35</v>
      </c>
      <c r="Z583" s="6" t="s">
        <v>46</v>
      </c>
      <c r="AA583" s="6" t="s">
        <v>37</v>
      </c>
      <c r="AB583" s="6" t="s">
        <v>149</v>
      </c>
      <c r="AC583" s="6" t="s">
        <v>59</v>
      </c>
      <c r="AD583" s="26" t="s">
        <v>152</v>
      </c>
      <c r="AE583" s="7">
        <v>235</v>
      </c>
      <c r="AF583" s="6">
        <v>327.5</v>
      </c>
      <c r="AG583" s="34">
        <v>7</v>
      </c>
      <c r="AH583" s="31" t="s">
        <v>54</v>
      </c>
    </row>
    <row r="584" ht="13.9" spans="1:34">
      <c r="A584" s="6">
        <v>5086</v>
      </c>
      <c r="B584" s="7">
        <v>0.4</v>
      </c>
      <c r="C584" s="6">
        <v>0.5</v>
      </c>
      <c r="D584" s="6">
        <v>0.1</v>
      </c>
      <c r="E584" s="6">
        <v>0.45</v>
      </c>
      <c r="F584" s="6">
        <v>4</v>
      </c>
      <c r="G584" s="6">
        <v>0.15</v>
      </c>
      <c r="H584" s="6">
        <v>0.25</v>
      </c>
      <c r="I584" s="6">
        <v>0</v>
      </c>
      <c r="J584" s="6">
        <v>0.15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8">
        <f t="shared" si="20"/>
        <v>94</v>
      </c>
      <c r="U584" s="7">
        <v>25</v>
      </c>
      <c r="V584" s="6">
        <v>25</v>
      </c>
      <c r="W584" s="6">
        <v>0</v>
      </c>
      <c r="X584" s="6" t="s">
        <v>42</v>
      </c>
      <c r="Y584" s="6" t="s">
        <v>35</v>
      </c>
      <c r="Z584" s="6" t="s">
        <v>46</v>
      </c>
      <c r="AA584" s="6" t="s">
        <v>37</v>
      </c>
      <c r="AB584" s="6" t="s">
        <v>149</v>
      </c>
      <c r="AC584" s="6" t="s">
        <v>43</v>
      </c>
      <c r="AD584" s="26" t="s">
        <v>152</v>
      </c>
      <c r="AE584" s="7">
        <v>235</v>
      </c>
      <c r="AF584" s="6">
        <v>327.5</v>
      </c>
      <c r="AG584" s="34">
        <v>7</v>
      </c>
      <c r="AH584" s="31" t="s">
        <v>54</v>
      </c>
    </row>
    <row r="585" ht="13.9" spans="1:34">
      <c r="A585" s="6">
        <v>5086</v>
      </c>
      <c r="B585" s="7">
        <v>0.4</v>
      </c>
      <c r="C585" s="6">
        <v>0.5</v>
      </c>
      <c r="D585" s="6">
        <v>0.1</v>
      </c>
      <c r="E585" s="6">
        <v>0.45</v>
      </c>
      <c r="F585" s="6">
        <v>4</v>
      </c>
      <c r="G585" s="6">
        <v>0.15</v>
      </c>
      <c r="H585" s="6">
        <v>0.25</v>
      </c>
      <c r="I585" s="6">
        <v>0</v>
      </c>
      <c r="J585" s="6">
        <v>0.15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8">
        <f t="shared" si="20"/>
        <v>94</v>
      </c>
      <c r="U585" s="7">
        <v>25</v>
      </c>
      <c r="V585" s="6">
        <v>25</v>
      </c>
      <c r="W585" s="6">
        <v>0</v>
      </c>
      <c r="X585" s="6" t="s">
        <v>53</v>
      </c>
      <c r="Y585" s="6" t="s">
        <v>35</v>
      </c>
      <c r="Z585" s="6" t="s">
        <v>46</v>
      </c>
      <c r="AA585" s="6" t="s">
        <v>37</v>
      </c>
      <c r="AB585" s="6" t="s">
        <v>149</v>
      </c>
      <c r="AC585" s="6" t="s">
        <v>53</v>
      </c>
      <c r="AD585" s="26" t="s">
        <v>152</v>
      </c>
      <c r="AE585" s="7">
        <v>255</v>
      </c>
      <c r="AF585" s="6">
        <v>325</v>
      </c>
      <c r="AG585" s="34">
        <v>10</v>
      </c>
      <c r="AH585" s="31" t="s">
        <v>54</v>
      </c>
    </row>
    <row r="586" ht="13.9" spans="1:34">
      <c r="A586" s="6">
        <v>5086</v>
      </c>
      <c r="B586" s="7">
        <v>0.4</v>
      </c>
      <c r="C586" s="6">
        <v>0.5</v>
      </c>
      <c r="D586" s="6">
        <v>0.1</v>
      </c>
      <c r="E586" s="6">
        <v>0.45</v>
      </c>
      <c r="F586" s="6">
        <v>4</v>
      </c>
      <c r="G586" s="6">
        <v>0.15</v>
      </c>
      <c r="H586" s="6">
        <v>0.25</v>
      </c>
      <c r="I586" s="6">
        <v>0</v>
      </c>
      <c r="J586" s="6">
        <v>0.15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8">
        <f t="shared" si="20"/>
        <v>94</v>
      </c>
      <c r="U586" s="7">
        <v>25</v>
      </c>
      <c r="V586" s="6">
        <v>25</v>
      </c>
      <c r="W586" s="6">
        <v>0</v>
      </c>
      <c r="X586" s="6" t="s">
        <v>42</v>
      </c>
      <c r="Y586" s="6" t="s">
        <v>35</v>
      </c>
      <c r="Z586" s="6" t="s">
        <v>65</v>
      </c>
      <c r="AA586" s="6" t="s">
        <v>37</v>
      </c>
      <c r="AB586" s="6" t="s">
        <v>149</v>
      </c>
      <c r="AC586" s="6" t="s">
        <v>59</v>
      </c>
      <c r="AD586" s="26" t="s">
        <v>159</v>
      </c>
      <c r="AE586" s="7">
        <v>195</v>
      </c>
      <c r="AF586" s="6">
        <v>300</v>
      </c>
      <c r="AG586" s="34">
        <v>9</v>
      </c>
      <c r="AH586" s="31" t="s">
        <v>54</v>
      </c>
    </row>
    <row r="587" ht="13.9" spans="1:34">
      <c r="A587" s="6">
        <v>5086</v>
      </c>
      <c r="B587" s="7">
        <v>0.4</v>
      </c>
      <c r="C587" s="6">
        <v>0.5</v>
      </c>
      <c r="D587" s="6">
        <v>0.1</v>
      </c>
      <c r="E587" s="6">
        <v>0.45</v>
      </c>
      <c r="F587" s="6">
        <v>4</v>
      </c>
      <c r="G587" s="6">
        <v>0.15</v>
      </c>
      <c r="H587" s="6">
        <v>0.25</v>
      </c>
      <c r="I587" s="6">
        <v>0</v>
      </c>
      <c r="J587" s="6">
        <v>0.15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8">
        <f t="shared" si="20"/>
        <v>94</v>
      </c>
      <c r="U587" s="7">
        <v>25</v>
      </c>
      <c r="V587" s="6">
        <v>25</v>
      </c>
      <c r="W587" s="6">
        <v>0</v>
      </c>
      <c r="X587" s="6" t="s">
        <v>42</v>
      </c>
      <c r="Y587" s="6" t="s">
        <v>35</v>
      </c>
      <c r="Z587" s="6" t="s">
        <v>65</v>
      </c>
      <c r="AA587" s="6" t="s">
        <v>37</v>
      </c>
      <c r="AB587" s="6" t="s">
        <v>149</v>
      </c>
      <c r="AC587" s="6" t="s">
        <v>43</v>
      </c>
      <c r="AD587" s="26" t="s">
        <v>159</v>
      </c>
      <c r="AE587" s="7">
        <v>195</v>
      </c>
      <c r="AF587" s="6">
        <v>300</v>
      </c>
      <c r="AG587" s="34">
        <v>9</v>
      </c>
      <c r="AH587" s="31" t="s">
        <v>54</v>
      </c>
    </row>
    <row r="588" ht="13.9" spans="1:34">
      <c r="A588" s="6">
        <v>5086</v>
      </c>
      <c r="B588" s="7">
        <v>0.4</v>
      </c>
      <c r="C588" s="6">
        <v>0.5</v>
      </c>
      <c r="D588" s="6">
        <v>0.1</v>
      </c>
      <c r="E588" s="6">
        <v>0.45</v>
      </c>
      <c r="F588" s="6">
        <v>4</v>
      </c>
      <c r="G588" s="6">
        <v>0.15</v>
      </c>
      <c r="H588" s="6">
        <v>0.25</v>
      </c>
      <c r="I588" s="6">
        <v>0</v>
      </c>
      <c r="J588" s="6">
        <v>0.15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8">
        <f t="shared" si="20"/>
        <v>94</v>
      </c>
      <c r="U588" s="7">
        <v>25</v>
      </c>
      <c r="V588" s="6">
        <v>25</v>
      </c>
      <c r="W588" s="6">
        <v>0</v>
      </c>
      <c r="X588" s="6" t="s">
        <v>53</v>
      </c>
      <c r="Y588" s="6" t="s">
        <v>35</v>
      </c>
      <c r="Z588" s="6" t="s">
        <v>48</v>
      </c>
      <c r="AA588" s="6" t="s">
        <v>37</v>
      </c>
      <c r="AB588" s="6" t="s">
        <v>37</v>
      </c>
      <c r="AC588" s="6" t="s">
        <v>53</v>
      </c>
      <c r="AD588" s="26" t="s">
        <v>159</v>
      </c>
      <c r="AE588" s="7">
        <v>205</v>
      </c>
      <c r="AF588" s="6">
        <v>290</v>
      </c>
      <c r="AG588" s="34">
        <v>12</v>
      </c>
      <c r="AH588" s="31" t="s">
        <v>54</v>
      </c>
    </row>
    <row r="589" ht="13.9" spans="1:34">
      <c r="A589" s="6">
        <v>5086</v>
      </c>
      <c r="B589" s="7">
        <v>0.4</v>
      </c>
      <c r="C589" s="6">
        <v>0.5</v>
      </c>
      <c r="D589" s="6">
        <v>0.1</v>
      </c>
      <c r="E589" s="6">
        <v>0.45</v>
      </c>
      <c r="F589" s="6">
        <v>4</v>
      </c>
      <c r="G589" s="6">
        <v>0.15</v>
      </c>
      <c r="H589" s="6">
        <v>0.25</v>
      </c>
      <c r="I589" s="6">
        <v>0</v>
      </c>
      <c r="J589" s="6">
        <v>0.15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8">
        <f t="shared" si="20"/>
        <v>94</v>
      </c>
      <c r="U589" s="7">
        <v>25</v>
      </c>
      <c r="V589" s="6">
        <v>25</v>
      </c>
      <c r="W589" s="6">
        <v>0</v>
      </c>
      <c r="X589" s="6" t="s">
        <v>53</v>
      </c>
      <c r="Y589" s="6" t="s">
        <v>35</v>
      </c>
      <c r="Z589" s="6" t="s">
        <v>65</v>
      </c>
      <c r="AA589" s="6" t="s">
        <v>37</v>
      </c>
      <c r="AB589" s="6" t="s">
        <v>149</v>
      </c>
      <c r="AC589" s="6" t="s">
        <v>53</v>
      </c>
      <c r="AD589" s="26" t="s">
        <v>153</v>
      </c>
      <c r="AE589" s="7">
        <v>205</v>
      </c>
      <c r="AF589" s="6">
        <v>290</v>
      </c>
      <c r="AG589" s="34">
        <v>12</v>
      </c>
      <c r="AH589" s="31" t="s">
        <v>54</v>
      </c>
    </row>
    <row r="590" ht="13.9" spans="1:34">
      <c r="A590" s="6">
        <v>5086</v>
      </c>
      <c r="B590" s="7">
        <v>0.4</v>
      </c>
      <c r="C590" s="6">
        <v>0.5</v>
      </c>
      <c r="D590" s="6">
        <v>0.1</v>
      </c>
      <c r="E590" s="6">
        <v>0.45</v>
      </c>
      <c r="F590" s="6">
        <v>4</v>
      </c>
      <c r="G590" s="6">
        <v>0.15</v>
      </c>
      <c r="H590" s="6">
        <v>0.25</v>
      </c>
      <c r="I590" s="6">
        <v>0</v>
      </c>
      <c r="J590" s="6">
        <v>0.15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8">
        <f t="shared" si="20"/>
        <v>94</v>
      </c>
      <c r="U590" s="7">
        <v>25</v>
      </c>
      <c r="V590" s="6">
        <v>25</v>
      </c>
      <c r="W590" s="6">
        <v>0</v>
      </c>
      <c r="X590" s="6" t="s">
        <v>42</v>
      </c>
      <c r="Y590" s="6" t="s">
        <v>35</v>
      </c>
      <c r="Z590" s="6" t="s">
        <v>48</v>
      </c>
      <c r="AA590" s="6" t="s">
        <v>37</v>
      </c>
      <c r="AB590" s="6" t="s">
        <v>37</v>
      </c>
      <c r="AC590" s="6" t="s">
        <v>59</v>
      </c>
      <c r="AD590" s="26" t="s">
        <v>153</v>
      </c>
      <c r="AE590" s="7">
        <v>195</v>
      </c>
      <c r="AF590" s="6">
        <v>275</v>
      </c>
      <c r="AG590" s="34">
        <v>9</v>
      </c>
      <c r="AH590" s="31" t="s">
        <v>54</v>
      </c>
    </row>
    <row r="591" ht="13.9" spans="1:34">
      <c r="A591" s="6">
        <v>5086</v>
      </c>
      <c r="B591" s="7">
        <v>0.4</v>
      </c>
      <c r="C591" s="6">
        <v>0.5</v>
      </c>
      <c r="D591" s="6">
        <v>0.1</v>
      </c>
      <c r="E591" s="6">
        <v>0.45</v>
      </c>
      <c r="F591" s="6">
        <v>4</v>
      </c>
      <c r="G591" s="6">
        <v>0.15</v>
      </c>
      <c r="H591" s="6">
        <v>0.25</v>
      </c>
      <c r="I591" s="6">
        <v>0</v>
      </c>
      <c r="J591" s="6">
        <v>0.15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8">
        <f t="shared" si="20"/>
        <v>94</v>
      </c>
      <c r="U591" s="7">
        <v>25</v>
      </c>
      <c r="V591" s="6">
        <v>25</v>
      </c>
      <c r="W591" s="6">
        <v>0</v>
      </c>
      <c r="X591" s="6" t="s">
        <v>42</v>
      </c>
      <c r="Y591" s="6" t="s">
        <v>35</v>
      </c>
      <c r="Z591" s="6" t="s">
        <v>48</v>
      </c>
      <c r="AA591" s="6" t="s">
        <v>37</v>
      </c>
      <c r="AB591" s="6" t="s">
        <v>37</v>
      </c>
      <c r="AC591" s="6" t="s">
        <v>43</v>
      </c>
      <c r="AD591" s="26" t="s">
        <v>153</v>
      </c>
      <c r="AE591" s="7">
        <v>195</v>
      </c>
      <c r="AF591" s="6">
        <v>275</v>
      </c>
      <c r="AG591" s="34">
        <v>9</v>
      </c>
      <c r="AH591" s="31" t="s">
        <v>54</v>
      </c>
    </row>
    <row r="592" ht="13.9" spans="1:34">
      <c r="A592" s="6">
        <v>5086</v>
      </c>
      <c r="B592" s="7">
        <v>0.4</v>
      </c>
      <c r="C592" s="6">
        <v>0.5</v>
      </c>
      <c r="D592" s="6">
        <v>0.1</v>
      </c>
      <c r="E592" s="6">
        <v>0.45</v>
      </c>
      <c r="F592" s="6">
        <v>4</v>
      </c>
      <c r="G592" s="6">
        <v>0.15</v>
      </c>
      <c r="H592" s="6">
        <v>0.25</v>
      </c>
      <c r="I592" s="6">
        <v>0</v>
      </c>
      <c r="J592" s="6">
        <v>0.15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8">
        <f t="shared" si="20"/>
        <v>94</v>
      </c>
      <c r="U592" s="7">
        <v>345</v>
      </c>
      <c r="V592" s="6">
        <v>25</v>
      </c>
      <c r="W592" s="6">
        <v>0</v>
      </c>
      <c r="X592" s="6" t="s">
        <v>42</v>
      </c>
      <c r="Y592" s="6" t="s">
        <v>50</v>
      </c>
      <c r="Z592" s="6" t="s">
        <v>37</v>
      </c>
      <c r="AA592" s="6" t="s">
        <v>37</v>
      </c>
      <c r="AB592" s="6" t="s">
        <v>37</v>
      </c>
      <c r="AC592" s="6" t="s">
        <v>59</v>
      </c>
      <c r="AD592" s="26" t="s">
        <v>57</v>
      </c>
      <c r="AE592" s="7">
        <v>95</v>
      </c>
      <c r="AF592" s="6">
        <v>272.5</v>
      </c>
      <c r="AG592" s="10">
        <v>16.5</v>
      </c>
      <c r="AH592" s="31" t="s">
        <v>54</v>
      </c>
    </row>
    <row r="593" ht="13.9" spans="1:34">
      <c r="A593" s="6">
        <v>5086</v>
      </c>
      <c r="B593" s="7">
        <v>0.4</v>
      </c>
      <c r="C593" s="6">
        <v>0.5</v>
      </c>
      <c r="D593" s="6">
        <v>0.1</v>
      </c>
      <c r="E593" s="6">
        <v>0.45</v>
      </c>
      <c r="F593" s="6">
        <v>4</v>
      </c>
      <c r="G593" s="6">
        <v>0.15</v>
      </c>
      <c r="H593" s="6">
        <v>0.25</v>
      </c>
      <c r="I593" s="6">
        <v>0</v>
      </c>
      <c r="J593" s="6">
        <v>0.15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8">
        <f t="shared" si="20"/>
        <v>94</v>
      </c>
      <c r="U593" s="7">
        <v>345</v>
      </c>
      <c r="V593" s="6">
        <v>25</v>
      </c>
      <c r="W593" s="6">
        <v>0</v>
      </c>
      <c r="X593" s="6" t="s">
        <v>42</v>
      </c>
      <c r="Y593" s="6" t="s">
        <v>50</v>
      </c>
      <c r="Z593" s="6" t="s">
        <v>37</v>
      </c>
      <c r="AA593" s="6" t="s">
        <v>37</v>
      </c>
      <c r="AB593" s="6" t="s">
        <v>37</v>
      </c>
      <c r="AC593" s="6" t="s">
        <v>43</v>
      </c>
      <c r="AD593" s="26" t="s">
        <v>57</v>
      </c>
      <c r="AE593" s="7">
        <v>95</v>
      </c>
      <c r="AF593" s="6">
        <v>272.5</v>
      </c>
      <c r="AG593" s="34">
        <v>16.5</v>
      </c>
      <c r="AH593" s="31" t="s">
        <v>54</v>
      </c>
    </row>
    <row r="594" ht="13.9" spans="1:34">
      <c r="A594" s="6">
        <v>5086</v>
      </c>
      <c r="B594" s="7">
        <v>0.4</v>
      </c>
      <c r="C594" s="6">
        <v>0.5</v>
      </c>
      <c r="D594" s="6">
        <v>0.1</v>
      </c>
      <c r="E594" s="6">
        <v>0.45</v>
      </c>
      <c r="F594" s="6">
        <v>4</v>
      </c>
      <c r="G594" s="6">
        <v>0.15</v>
      </c>
      <c r="H594" s="6">
        <v>0.25</v>
      </c>
      <c r="I594" s="6">
        <v>0</v>
      </c>
      <c r="J594" s="6">
        <v>0.15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8">
        <f t="shared" si="20"/>
        <v>94</v>
      </c>
      <c r="U594" s="7">
        <v>25</v>
      </c>
      <c r="V594" s="6">
        <v>25</v>
      </c>
      <c r="W594" s="6">
        <v>0</v>
      </c>
      <c r="X594" s="6" t="s">
        <v>53</v>
      </c>
      <c r="Y594" s="6" t="s">
        <v>35</v>
      </c>
      <c r="Z594" s="6" t="s">
        <v>67</v>
      </c>
      <c r="AA594" s="6" t="s">
        <v>37</v>
      </c>
      <c r="AB594" s="6" t="s">
        <v>37</v>
      </c>
      <c r="AC594" s="6" t="s">
        <v>53</v>
      </c>
      <c r="AD594" s="26" t="s">
        <v>68</v>
      </c>
      <c r="AE594" s="7">
        <v>130</v>
      </c>
      <c r="AF594" s="6">
        <v>270</v>
      </c>
      <c r="AG594" s="34">
        <v>14</v>
      </c>
      <c r="AH594" s="31" t="s">
        <v>54</v>
      </c>
    </row>
    <row r="595" ht="13.9" spans="1:34">
      <c r="A595" s="6">
        <v>5086</v>
      </c>
      <c r="B595" s="7">
        <v>0.4</v>
      </c>
      <c r="C595" s="6">
        <v>0.5</v>
      </c>
      <c r="D595" s="6">
        <v>0.1</v>
      </c>
      <c r="E595" s="6">
        <v>0.45</v>
      </c>
      <c r="F595" s="6">
        <v>4</v>
      </c>
      <c r="G595" s="6">
        <v>0.15</v>
      </c>
      <c r="H595" s="6">
        <v>0.25</v>
      </c>
      <c r="I595" s="6">
        <v>0</v>
      </c>
      <c r="J595" s="6">
        <v>0.15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8">
        <f t="shared" si="20"/>
        <v>94</v>
      </c>
      <c r="U595" s="7">
        <v>345</v>
      </c>
      <c r="V595" s="6">
        <v>25</v>
      </c>
      <c r="W595" s="6">
        <v>0</v>
      </c>
      <c r="X595" s="6" t="s">
        <v>53</v>
      </c>
      <c r="Y595" s="6" t="s">
        <v>50</v>
      </c>
      <c r="Z595" s="6" t="s">
        <v>37</v>
      </c>
      <c r="AA595" s="6" t="s">
        <v>37</v>
      </c>
      <c r="AB595" s="6" t="s">
        <v>37</v>
      </c>
      <c r="AC595" s="6" t="s">
        <v>53</v>
      </c>
      <c r="AD595" s="26" t="s">
        <v>57</v>
      </c>
      <c r="AE595" s="7">
        <v>116</v>
      </c>
      <c r="AF595" s="6">
        <v>261</v>
      </c>
      <c r="AG595" s="34">
        <v>26</v>
      </c>
      <c r="AH595" s="31" t="s">
        <v>54</v>
      </c>
    </row>
    <row r="596" ht="13.9" spans="1:34">
      <c r="A596" s="6">
        <v>5086</v>
      </c>
      <c r="B596" s="7">
        <v>0.4</v>
      </c>
      <c r="C596" s="6">
        <v>0.5</v>
      </c>
      <c r="D596" s="6">
        <v>0.1</v>
      </c>
      <c r="E596" s="6">
        <v>0.45</v>
      </c>
      <c r="F596" s="6">
        <v>4</v>
      </c>
      <c r="G596" s="6">
        <v>0.15</v>
      </c>
      <c r="H596" s="6">
        <v>0.25</v>
      </c>
      <c r="I596" s="6">
        <v>0</v>
      </c>
      <c r="J596" s="6">
        <v>0.15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8">
        <f t="shared" si="20"/>
        <v>94</v>
      </c>
      <c r="U596" s="7">
        <v>25</v>
      </c>
      <c r="V596" s="6">
        <v>25</v>
      </c>
      <c r="W596" s="6">
        <v>0</v>
      </c>
      <c r="X596" s="6" t="s">
        <v>42</v>
      </c>
      <c r="Y596" s="6" t="s">
        <v>35</v>
      </c>
      <c r="Z596" s="6" t="s">
        <v>67</v>
      </c>
      <c r="AA596" s="6" t="s">
        <v>37</v>
      </c>
      <c r="AB596" s="6" t="s">
        <v>37</v>
      </c>
      <c r="AC596" s="6" t="s">
        <v>43</v>
      </c>
      <c r="AD596" s="26" t="s">
        <v>68</v>
      </c>
      <c r="AE596" s="7">
        <v>125</v>
      </c>
      <c r="AF596" s="6">
        <v>250</v>
      </c>
      <c r="AG596" s="10">
        <v>8</v>
      </c>
      <c r="AH596" s="31" t="s">
        <v>54</v>
      </c>
    </row>
    <row r="597" s="3" customFormat="1" ht="13.9" spans="1:34">
      <c r="A597" s="3">
        <v>5086</v>
      </c>
      <c r="B597" s="16">
        <v>0.4</v>
      </c>
      <c r="C597" s="3">
        <v>0.5</v>
      </c>
      <c r="D597" s="3">
        <v>0.1</v>
      </c>
      <c r="E597" s="3">
        <v>0.45</v>
      </c>
      <c r="F597" s="3">
        <v>4</v>
      </c>
      <c r="G597" s="3">
        <v>0.15</v>
      </c>
      <c r="H597" s="3">
        <v>0.25</v>
      </c>
      <c r="I597" s="3">
        <v>0</v>
      </c>
      <c r="J597" s="3">
        <v>0.15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22">
        <f t="shared" si="20"/>
        <v>94</v>
      </c>
      <c r="U597" s="16">
        <v>25</v>
      </c>
      <c r="V597" s="3">
        <v>25</v>
      </c>
      <c r="W597" s="3">
        <v>0</v>
      </c>
      <c r="X597" s="3" t="s">
        <v>42</v>
      </c>
      <c r="Y597" s="3" t="s">
        <v>35</v>
      </c>
      <c r="Z597" s="3" t="s">
        <v>67</v>
      </c>
      <c r="AA597" s="3" t="s">
        <v>37</v>
      </c>
      <c r="AB597" s="3" t="s">
        <v>37</v>
      </c>
      <c r="AC597" s="3" t="s">
        <v>59</v>
      </c>
      <c r="AD597" s="27" t="s">
        <v>68</v>
      </c>
      <c r="AE597" s="16">
        <v>106</v>
      </c>
      <c r="AF597" s="3">
        <v>241</v>
      </c>
      <c r="AG597" s="38">
        <v>11.5</v>
      </c>
      <c r="AH597" s="33" t="s">
        <v>54</v>
      </c>
    </row>
    <row r="598" ht="13.9" spans="1:34">
      <c r="A598" s="6">
        <v>5154</v>
      </c>
      <c r="B598" s="7">
        <v>0.25</v>
      </c>
      <c r="C598" s="6">
        <v>0.4</v>
      </c>
      <c r="D598" s="6">
        <v>0.1</v>
      </c>
      <c r="E598" s="6">
        <v>0.1</v>
      </c>
      <c r="F598" s="6">
        <v>3.5</v>
      </c>
      <c r="G598" s="6">
        <v>0.25</v>
      </c>
      <c r="H598" s="6">
        <v>0.2</v>
      </c>
      <c r="I598" s="6">
        <v>0</v>
      </c>
      <c r="J598" s="6">
        <v>0.2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0.0004</v>
      </c>
      <c r="S598" s="6">
        <v>0</v>
      </c>
      <c r="T598" s="8">
        <f t="shared" si="20"/>
        <v>94.9996</v>
      </c>
      <c r="U598" s="7">
        <v>25</v>
      </c>
      <c r="V598" s="6">
        <v>25</v>
      </c>
      <c r="W598" s="6">
        <v>0</v>
      </c>
      <c r="X598" s="6" t="s">
        <v>53</v>
      </c>
      <c r="Y598" s="6" t="s">
        <v>35</v>
      </c>
      <c r="Z598" s="6" t="s">
        <v>36</v>
      </c>
      <c r="AA598" s="6" t="s">
        <v>37</v>
      </c>
      <c r="AB598" s="6" t="s">
        <v>149</v>
      </c>
      <c r="AC598" s="6" t="s">
        <v>53</v>
      </c>
      <c r="AD598" s="26" t="s">
        <v>150</v>
      </c>
      <c r="AE598" s="7">
        <v>269</v>
      </c>
      <c r="AF598" s="6">
        <v>330</v>
      </c>
      <c r="AG598" s="34">
        <v>10</v>
      </c>
      <c r="AH598" s="31" t="s">
        <v>54</v>
      </c>
    </row>
    <row r="599" ht="13.9" spans="1:34">
      <c r="A599" s="6">
        <v>5154</v>
      </c>
      <c r="B599" s="7">
        <v>0.25</v>
      </c>
      <c r="C599" s="6">
        <v>0.4</v>
      </c>
      <c r="D599" s="6">
        <v>0.1</v>
      </c>
      <c r="E599" s="6">
        <v>0.1</v>
      </c>
      <c r="F599" s="6">
        <v>3.5</v>
      </c>
      <c r="G599" s="6">
        <v>0.25</v>
      </c>
      <c r="H599" s="6">
        <v>0.2</v>
      </c>
      <c r="I599" s="6">
        <v>0</v>
      </c>
      <c r="J599" s="6">
        <v>0.2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0.0004</v>
      </c>
      <c r="S599" s="6">
        <v>0</v>
      </c>
      <c r="T599" s="8">
        <f t="shared" si="20"/>
        <v>94.9996</v>
      </c>
      <c r="U599" s="7">
        <v>25</v>
      </c>
      <c r="V599" s="6">
        <v>25</v>
      </c>
      <c r="W599" s="6">
        <v>0</v>
      </c>
      <c r="X599" s="6" t="s">
        <v>53</v>
      </c>
      <c r="Y599" s="6" t="s">
        <v>35</v>
      </c>
      <c r="Z599" s="6" t="s">
        <v>55</v>
      </c>
      <c r="AA599" s="6" t="s">
        <v>37</v>
      </c>
      <c r="AB599" s="6" t="s">
        <v>149</v>
      </c>
      <c r="AC599" s="6" t="s">
        <v>53</v>
      </c>
      <c r="AD599" s="26" t="s">
        <v>151</v>
      </c>
      <c r="AE599" s="7">
        <v>248</v>
      </c>
      <c r="AF599" s="6">
        <v>310</v>
      </c>
      <c r="AG599" s="34">
        <v>12</v>
      </c>
      <c r="AH599" s="31" t="s">
        <v>54</v>
      </c>
    </row>
    <row r="600" ht="13.9" spans="1:34">
      <c r="A600" s="6">
        <v>5154</v>
      </c>
      <c r="B600" s="7">
        <v>0.25</v>
      </c>
      <c r="C600" s="6">
        <v>0.4</v>
      </c>
      <c r="D600" s="6">
        <v>0.1</v>
      </c>
      <c r="E600" s="6">
        <v>0.1</v>
      </c>
      <c r="F600" s="6">
        <v>3.5</v>
      </c>
      <c r="G600" s="6">
        <v>0.25</v>
      </c>
      <c r="H600" s="6">
        <v>0.2</v>
      </c>
      <c r="I600" s="6">
        <v>0</v>
      </c>
      <c r="J600" s="6">
        <v>0.2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0.0004</v>
      </c>
      <c r="S600" s="6">
        <v>0</v>
      </c>
      <c r="T600" s="8">
        <f t="shared" si="20"/>
        <v>94.9996</v>
      </c>
      <c r="U600" s="7">
        <v>25</v>
      </c>
      <c r="V600" s="6">
        <v>25</v>
      </c>
      <c r="W600" s="6">
        <v>0</v>
      </c>
      <c r="X600" s="6" t="s">
        <v>42</v>
      </c>
      <c r="Y600" s="6" t="s">
        <v>35</v>
      </c>
      <c r="Z600" s="6" t="s">
        <v>36</v>
      </c>
      <c r="AA600" s="6" t="s">
        <v>37</v>
      </c>
      <c r="AB600" s="6" t="s">
        <v>149</v>
      </c>
      <c r="AC600" s="6" t="s">
        <v>43</v>
      </c>
      <c r="AD600" s="26" t="s">
        <v>150</v>
      </c>
      <c r="AE600" s="7">
        <v>240</v>
      </c>
      <c r="AF600" s="6">
        <v>310</v>
      </c>
      <c r="AG600" s="34">
        <v>4</v>
      </c>
      <c r="AH600" s="31" t="s">
        <v>54</v>
      </c>
    </row>
    <row r="601" ht="13.9" spans="1:34">
      <c r="A601" s="6">
        <v>5154</v>
      </c>
      <c r="B601" s="7">
        <v>0.25</v>
      </c>
      <c r="C601" s="6">
        <v>0.4</v>
      </c>
      <c r="D601" s="6">
        <v>0.1</v>
      </c>
      <c r="E601" s="6">
        <v>0.1</v>
      </c>
      <c r="F601" s="6">
        <v>3.5</v>
      </c>
      <c r="G601" s="6">
        <v>0.25</v>
      </c>
      <c r="H601" s="6">
        <v>0.2</v>
      </c>
      <c r="I601" s="6">
        <v>0</v>
      </c>
      <c r="J601" s="6">
        <v>0.2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0.0004</v>
      </c>
      <c r="S601" s="6">
        <v>0</v>
      </c>
      <c r="T601" s="8">
        <f t="shared" si="20"/>
        <v>94.9996</v>
      </c>
      <c r="U601" s="7">
        <v>25</v>
      </c>
      <c r="V601" s="6">
        <v>25</v>
      </c>
      <c r="W601" s="6">
        <v>0</v>
      </c>
      <c r="X601" s="6" t="s">
        <v>53</v>
      </c>
      <c r="Y601" s="6" t="s">
        <v>35</v>
      </c>
      <c r="Z601" s="6" t="s">
        <v>46</v>
      </c>
      <c r="AA601" s="6" t="s">
        <v>37</v>
      </c>
      <c r="AB601" s="6" t="s">
        <v>149</v>
      </c>
      <c r="AC601" s="6" t="s">
        <v>53</v>
      </c>
      <c r="AD601" s="26" t="s">
        <v>152</v>
      </c>
      <c r="AE601" s="7">
        <v>228</v>
      </c>
      <c r="AF601" s="6">
        <v>290</v>
      </c>
      <c r="AG601" s="34">
        <v>13</v>
      </c>
      <c r="AH601" s="31" t="s">
        <v>54</v>
      </c>
    </row>
    <row r="602" ht="13.9" spans="1:34">
      <c r="A602" s="6">
        <v>5154</v>
      </c>
      <c r="B602" s="7">
        <v>0.25</v>
      </c>
      <c r="C602" s="6">
        <v>0.4</v>
      </c>
      <c r="D602" s="6">
        <v>0.1</v>
      </c>
      <c r="E602" s="6">
        <v>0.1</v>
      </c>
      <c r="F602" s="6">
        <v>3.5</v>
      </c>
      <c r="G602" s="6">
        <v>0.25</v>
      </c>
      <c r="H602" s="6">
        <v>0.2</v>
      </c>
      <c r="I602" s="6">
        <v>0</v>
      </c>
      <c r="J602" s="6">
        <v>0.2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0.0004</v>
      </c>
      <c r="S602" s="6">
        <v>0</v>
      </c>
      <c r="T602" s="8">
        <f t="shared" si="20"/>
        <v>94.9996</v>
      </c>
      <c r="U602" s="7">
        <v>25</v>
      </c>
      <c r="V602" s="6">
        <v>25</v>
      </c>
      <c r="W602" s="6">
        <v>0</v>
      </c>
      <c r="X602" s="6" t="s">
        <v>42</v>
      </c>
      <c r="Y602" s="6" t="s">
        <v>35</v>
      </c>
      <c r="Z602" s="6" t="s">
        <v>55</v>
      </c>
      <c r="AA602" s="6" t="s">
        <v>37</v>
      </c>
      <c r="AB602" s="6" t="s">
        <v>149</v>
      </c>
      <c r="AC602" s="6" t="s">
        <v>43</v>
      </c>
      <c r="AD602" s="26" t="s">
        <v>151</v>
      </c>
      <c r="AE602" s="7">
        <v>220</v>
      </c>
      <c r="AF602" s="6">
        <v>290</v>
      </c>
      <c r="AG602" s="34">
        <v>4</v>
      </c>
      <c r="AH602" s="31" t="s">
        <v>54</v>
      </c>
    </row>
    <row r="603" ht="13.9" spans="1:34">
      <c r="A603" s="6">
        <v>5154</v>
      </c>
      <c r="B603" s="7">
        <v>0.25</v>
      </c>
      <c r="C603" s="6">
        <v>0.4</v>
      </c>
      <c r="D603" s="6">
        <v>0.1</v>
      </c>
      <c r="E603" s="6">
        <v>0.1</v>
      </c>
      <c r="F603" s="6">
        <v>3.5</v>
      </c>
      <c r="G603" s="6">
        <v>0.25</v>
      </c>
      <c r="H603" s="6">
        <v>0.2</v>
      </c>
      <c r="I603" s="6">
        <v>0</v>
      </c>
      <c r="J603" s="6">
        <v>0.2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0.0004</v>
      </c>
      <c r="S603" s="6">
        <v>0</v>
      </c>
      <c r="T603" s="8">
        <f t="shared" si="20"/>
        <v>94.9996</v>
      </c>
      <c r="U603" s="7">
        <v>25</v>
      </c>
      <c r="V603" s="6">
        <v>25</v>
      </c>
      <c r="W603" s="6">
        <v>0</v>
      </c>
      <c r="X603" s="6" t="s">
        <v>53</v>
      </c>
      <c r="Y603" s="6" t="s">
        <v>35</v>
      </c>
      <c r="Z603" s="6" t="s">
        <v>65</v>
      </c>
      <c r="AA603" s="6" t="s">
        <v>37</v>
      </c>
      <c r="AB603" s="6" t="s">
        <v>149</v>
      </c>
      <c r="AC603" s="6" t="s">
        <v>53</v>
      </c>
      <c r="AD603" s="26" t="s">
        <v>153</v>
      </c>
      <c r="AE603" s="7">
        <v>207</v>
      </c>
      <c r="AF603" s="6">
        <v>270</v>
      </c>
      <c r="AG603" s="34">
        <v>15</v>
      </c>
      <c r="AH603" s="31" t="s">
        <v>54</v>
      </c>
    </row>
    <row r="604" ht="13.9" spans="1:34">
      <c r="A604" s="6">
        <v>5154</v>
      </c>
      <c r="B604" s="7">
        <v>0.25</v>
      </c>
      <c r="C604" s="6">
        <v>0.4</v>
      </c>
      <c r="D604" s="6">
        <v>0.1</v>
      </c>
      <c r="E604" s="6">
        <v>0.1</v>
      </c>
      <c r="F604" s="6">
        <v>3.5</v>
      </c>
      <c r="G604" s="6">
        <v>0.25</v>
      </c>
      <c r="H604" s="6">
        <v>0.2</v>
      </c>
      <c r="I604" s="6">
        <v>0</v>
      </c>
      <c r="J604" s="6">
        <v>0.2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0.0004</v>
      </c>
      <c r="S604" s="6">
        <v>0</v>
      </c>
      <c r="T604" s="8">
        <f t="shared" si="20"/>
        <v>94.9996</v>
      </c>
      <c r="U604" s="7">
        <v>25</v>
      </c>
      <c r="V604" s="6">
        <v>25</v>
      </c>
      <c r="W604" s="6">
        <v>0</v>
      </c>
      <c r="X604" s="6" t="s">
        <v>42</v>
      </c>
      <c r="Y604" s="6" t="s">
        <v>35</v>
      </c>
      <c r="Z604" s="6" t="s">
        <v>46</v>
      </c>
      <c r="AA604" s="6" t="s">
        <v>37</v>
      </c>
      <c r="AB604" s="6" t="s">
        <v>149</v>
      </c>
      <c r="AC604" s="6" t="s">
        <v>59</v>
      </c>
      <c r="AD604" s="26" t="s">
        <v>152</v>
      </c>
      <c r="AE604" s="7">
        <v>200</v>
      </c>
      <c r="AF604" s="6">
        <v>270</v>
      </c>
      <c r="AG604" s="34">
        <v>7</v>
      </c>
      <c r="AH604" s="31" t="s">
        <v>54</v>
      </c>
    </row>
    <row r="605" ht="13.9" spans="1:34">
      <c r="A605" s="6">
        <v>5154</v>
      </c>
      <c r="B605" s="7">
        <v>0.25</v>
      </c>
      <c r="C605" s="6">
        <v>0.4</v>
      </c>
      <c r="D605" s="6">
        <v>0.1</v>
      </c>
      <c r="E605" s="6">
        <v>0.1</v>
      </c>
      <c r="F605" s="6">
        <v>3.5</v>
      </c>
      <c r="G605" s="6">
        <v>0.25</v>
      </c>
      <c r="H605" s="6">
        <v>0.2</v>
      </c>
      <c r="I605" s="6">
        <v>0</v>
      </c>
      <c r="J605" s="6">
        <v>0.2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0.0004</v>
      </c>
      <c r="S605" s="6">
        <v>0</v>
      </c>
      <c r="T605" s="8">
        <f t="shared" si="20"/>
        <v>94.9996</v>
      </c>
      <c r="U605" s="7">
        <v>25</v>
      </c>
      <c r="V605" s="6">
        <v>25</v>
      </c>
      <c r="W605" s="6">
        <v>0</v>
      </c>
      <c r="X605" s="6" t="s">
        <v>42</v>
      </c>
      <c r="Y605" s="6" t="s">
        <v>35</v>
      </c>
      <c r="Z605" s="6" t="s">
        <v>46</v>
      </c>
      <c r="AA605" s="6" t="s">
        <v>37</v>
      </c>
      <c r="AB605" s="6" t="s">
        <v>149</v>
      </c>
      <c r="AC605" s="6" t="s">
        <v>43</v>
      </c>
      <c r="AD605" s="26" t="s">
        <v>152</v>
      </c>
      <c r="AE605" s="7">
        <v>200</v>
      </c>
      <c r="AF605" s="6">
        <v>270</v>
      </c>
      <c r="AG605" s="34">
        <v>7</v>
      </c>
      <c r="AH605" s="31" t="s">
        <v>54</v>
      </c>
    </row>
    <row r="606" ht="13.9" spans="1:34">
      <c r="A606" s="6">
        <v>5154</v>
      </c>
      <c r="B606" s="7">
        <v>0.25</v>
      </c>
      <c r="C606" s="6">
        <v>0.4</v>
      </c>
      <c r="D606" s="6">
        <v>0.1</v>
      </c>
      <c r="E606" s="6">
        <v>0.1</v>
      </c>
      <c r="F606" s="6">
        <v>3.5</v>
      </c>
      <c r="G606" s="6">
        <v>0.25</v>
      </c>
      <c r="H606" s="6">
        <v>0.2</v>
      </c>
      <c r="I606" s="6">
        <v>0</v>
      </c>
      <c r="J606" s="6">
        <v>0.2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0.0004</v>
      </c>
      <c r="S606" s="6">
        <v>0</v>
      </c>
      <c r="T606" s="8">
        <f t="shared" si="20"/>
        <v>94.9996</v>
      </c>
      <c r="U606" s="7">
        <v>25</v>
      </c>
      <c r="V606" s="6">
        <v>25</v>
      </c>
      <c r="W606" s="6">
        <v>0</v>
      </c>
      <c r="X606" s="6" t="s">
        <v>42</v>
      </c>
      <c r="Y606" s="6" t="s">
        <v>35</v>
      </c>
      <c r="Z606" s="6" t="s">
        <v>65</v>
      </c>
      <c r="AA606" s="6" t="s">
        <v>37</v>
      </c>
      <c r="AB606" s="6" t="s">
        <v>149</v>
      </c>
      <c r="AC606" s="6" t="s">
        <v>59</v>
      </c>
      <c r="AD606" s="26" t="s">
        <v>153</v>
      </c>
      <c r="AE606" s="7">
        <v>180</v>
      </c>
      <c r="AF606" s="6">
        <v>250</v>
      </c>
      <c r="AG606" s="34">
        <v>8.5</v>
      </c>
      <c r="AH606" s="31" t="s">
        <v>54</v>
      </c>
    </row>
    <row r="607" ht="13.9" spans="1:34">
      <c r="A607" s="6">
        <v>5154</v>
      </c>
      <c r="B607" s="7">
        <v>0.25</v>
      </c>
      <c r="C607" s="6">
        <v>0.4</v>
      </c>
      <c r="D607" s="6">
        <v>0.1</v>
      </c>
      <c r="E607" s="6">
        <v>0.1</v>
      </c>
      <c r="F607" s="6">
        <v>3.5</v>
      </c>
      <c r="G607" s="6">
        <v>0.25</v>
      </c>
      <c r="H607" s="6">
        <v>0.2</v>
      </c>
      <c r="I607" s="6">
        <v>0</v>
      </c>
      <c r="J607" s="6">
        <v>0.2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0.0004</v>
      </c>
      <c r="S607" s="6">
        <v>0</v>
      </c>
      <c r="T607" s="8">
        <f t="shared" si="20"/>
        <v>94.9996</v>
      </c>
      <c r="U607" s="7">
        <v>25</v>
      </c>
      <c r="V607" s="6">
        <v>25</v>
      </c>
      <c r="W607" s="6">
        <v>0</v>
      </c>
      <c r="X607" s="6" t="s">
        <v>42</v>
      </c>
      <c r="Y607" s="6" t="s">
        <v>35</v>
      </c>
      <c r="Z607" s="6" t="s">
        <v>65</v>
      </c>
      <c r="AA607" s="6" t="s">
        <v>37</v>
      </c>
      <c r="AB607" s="6" t="s">
        <v>149</v>
      </c>
      <c r="AC607" s="6" t="s">
        <v>43</v>
      </c>
      <c r="AD607" s="26" t="s">
        <v>153</v>
      </c>
      <c r="AE607" s="7">
        <v>180</v>
      </c>
      <c r="AF607" s="6">
        <v>250</v>
      </c>
      <c r="AG607" s="34">
        <v>8.5</v>
      </c>
      <c r="AH607" s="31" t="s">
        <v>54</v>
      </c>
    </row>
    <row r="608" ht="13.9" spans="1:34">
      <c r="A608" s="6">
        <v>5154</v>
      </c>
      <c r="B608" s="7">
        <v>0.25</v>
      </c>
      <c r="C608" s="6">
        <v>0.4</v>
      </c>
      <c r="D608" s="6">
        <v>0.1</v>
      </c>
      <c r="E608" s="6">
        <v>0.1</v>
      </c>
      <c r="F608" s="6">
        <v>3.5</v>
      </c>
      <c r="G608" s="6">
        <v>0.25</v>
      </c>
      <c r="H608" s="6">
        <v>0.2</v>
      </c>
      <c r="I608" s="6">
        <v>0</v>
      </c>
      <c r="J608" s="6">
        <v>0.2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0.0004</v>
      </c>
      <c r="S608" s="6">
        <v>0</v>
      </c>
      <c r="T608" s="8">
        <f t="shared" si="20"/>
        <v>94.9996</v>
      </c>
      <c r="U608" s="7">
        <v>25</v>
      </c>
      <c r="V608" s="6">
        <v>25</v>
      </c>
      <c r="W608" s="6">
        <v>0</v>
      </c>
      <c r="X608" s="6" t="s">
        <v>53</v>
      </c>
      <c r="Y608" s="6" t="s">
        <v>35</v>
      </c>
      <c r="Z608" s="6" t="s">
        <v>67</v>
      </c>
      <c r="AA608" s="6" t="s">
        <v>37</v>
      </c>
      <c r="AB608" s="6" t="s">
        <v>37</v>
      </c>
      <c r="AC608" s="6" t="s">
        <v>53</v>
      </c>
      <c r="AD608" s="26" t="s">
        <v>68</v>
      </c>
      <c r="AE608" s="7">
        <v>117</v>
      </c>
      <c r="AF608" s="6">
        <v>240</v>
      </c>
      <c r="AG608" s="34">
        <v>25</v>
      </c>
      <c r="AH608" s="31" t="s">
        <v>54</v>
      </c>
    </row>
    <row r="609" ht="13.9" spans="1:34">
      <c r="A609" s="6">
        <v>5154</v>
      </c>
      <c r="B609" s="7">
        <v>0.25</v>
      </c>
      <c r="C609" s="6">
        <v>0.4</v>
      </c>
      <c r="D609" s="6">
        <v>0.1</v>
      </c>
      <c r="E609" s="6">
        <v>0.1</v>
      </c>
      <c r="F609" s="6">
        <v>3.5</v>
      </c>
      <c r="G609" s="6">
        <v>0.25</v>
      </c>
      <c r="H609" s="6">
        <v>0.2</v>
      </c>
      <c r="I609" s="6">
        <v>0</v>
      </c>
      <c r="J609" s="6">
        <v>0.2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0.0004</v>
      </c>
      <c r="S609" s="6">
        <v>0</v>
      </c>
      <c r="T609" s="8">
        <f t="shared" si="20"/>
        <v>94.9996</v>
      </c>
      <c r="U609" s="7">
        <v>345</v>
      </c>
      <c r="V609" s="6">
        <v>25</v>
      </c>
      <c r="W609" s="6">
        <v>0</v>
      </c>
      <c r="X609" s="6" t="s">
        <v>53</v>
      </c>
      <c r="Y609" s="6" t="s">
        <v>50</v>
      </c>
      <c r="Z609" s="6" t="s">
        <v>37</v>
      </c>
      <c r="AA609" s="6" t="s">
        <v>37</v>
      </c>
      <c r="AB609" s="6" t="s">
        <v>37</v>
      </c>
      <c r="AC609" s="6" t="s">
        <v>53</v>
      </c>
      <c r="AD609" s="26" t="s">
        <v>57</v>
      </c>
      <c r="AE609" s="7">
        <v>116</v>
      </c>
      <c r="AF609" s="6">
        <v>240</v>
      </c>
      <c r="AG609" s="34">
        <v>28.5</v>
      </c>
      <c r="AH609" s="31" t="s">
        <v>54</v>
      </c>
    </row>
    <row r="610" ht="13.9" spans="1:34">
      <c r="A610" s="6">
        <v>5154</v>
      </c>
      <c r="B610" s="7">
        <v>0.25</v>
      </c>
      <c r="C610" s="6">
        <v>0.4</v>
      </c>
      <c r="D610" s="6">
        <v>0.1</v>
      </c>
      <c r="E610" s="6">
        <v>0.1</v>
      </c>
      <c r="F610" s="6">
        <v>3.5</v>
      </c>
      <c r="G610" s="6">
        <v>0.25</v>
      </c>
      <c r="H610" s="6">
        <v>0.2</v>
      </c>
      <c r="I610" s="6">
        <v>0</v>
      </c>
      <c r="J610" s="6">
        <v>0.2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0.0004</v>
      </c>
      <c r="S610" s="6">
        <v>0</v>
      </c>
      <c r="T610" s="8">
        <f t="shared" si="20"/>
        <v>94.9996</v>
      </c>
      <c r="U610" s="7">
        <v>25</v>
      </c>
      <c r="V610" s="6">
        <v>25</v>
      </c>
      <c r="W610" s="6">
        <v>0</v>
      </c>
      <c r="X610" s="6" t="s">
        <v>42</v>
      </c>
      <c r="Y610" s="6" t="s">
        <v>35</v>
      </c>
      <c r="Z610" s="6" t="s">
        <v>67</v>
      </c>
      <c r="AA610" s="6" t="s">
        <v>37</v>
      </c>
      <c r="AB610" s="6" t="s">
        <v>37</v>
      </c>
      <c r="AC610" s="6" t="s">
        <v>59</v>
      </c>
      <c r="AD610" s="26" t="s">
        <v>68</v>
      </c>
      <c r="AE610" s="7">
        <v>100</v>
      </c>
      <c r="AF610" s="6">
        <v>213</v>
      </c>
      <c r="AG610" s="34">
        <v>10.5</v>
      </c>
      <c r="AH610" s="31" t="s">
        <v>54</v>
      </c>
    </row>
    <row r="611" ht="13.9" spans="1:34">
      <c r="A611" s="6">
        <v>5154</v>
      </c>
      <c r="B611" s="7">
        <v>0.25</v>
      </c>
      <c r="C611" s="6">
        <v>0.4</v>
      </c>
      <c r="D611" s="6">
        <v>0.1</v>
      </c>
      <c r="E611" s="6">
        <v>0.1</v>
      </c>
      <c r="F611" s="6">
        <v>3.5</v>
      </c>
      <c r="G611" s="6">
        <v>0.25</v>
      </c>
      <c r="H611" s="6">
        <v>0.2</v>
      </c>
      <c r="I611" s="6">
        <v>0</v>
      </c>
      <c r="J611" s="6">
        <v>0.2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0.0004</v>
      </c>
      <c r="S611" s="6">
        <v>0</v>
      </c>
      <c r="T611" s="8">
        <f t="shared" si="20"/>
        <v>94.9996</v>
      </c>
      <c r="U611" s="7">
        <v>345</v>
      </c>
      <c r="V611" s="6">
        <v>25</v>
      </c>
      <c r="W611" s="6">
        <v>0</v>
      </c>
      <c r="X611" s="6" t="s">
        <v>42</v>
      </c>
      <c r="Y611" s="6" t="s">
        <v>50</v>
      </c>
      <c r="Z611" s="6" t="s">
        <v>37</v>
      </c>
      <c r="AA611" s="6" t="s">
        <v>37</v>
      </c>
      <c r="AB611" s="6" t="s">
        <v>37</v>
      </c>
      <c r="AC611" s="6" t="s">
        <v>59</v>
      </c>
      <c r="AD611" s="26" t="s">
        <v>57</v>
      </c>
      <c r="AE611" s="7">
        <v>75</v>
      </c>
      <c r="AF611" s="6">
        <v>205</v>
      </c>
      <c r="AG611" s="34">
        <v>15</v>
      </c>
      <c r="AH611" s="31" t="s">
        <v>54</v>
      </c>
    </row>
    <row r="612" ht="13.9" spans="1:34">
      <c r="A612" s="6">
        <v>5154</v>
      </c>
      <c r="B612" s="7">
        <v>0.25</v>
      </c>
      <c r="C612" s="6">
        <v>0.4</v>
      </c>
      <c r="D612" s="6">
        <v>0.1</v>
      </c>
      <c r="E612" s="6">
        <v>0.1</v>
      </c>
      <c r="F612" s="6">
        <v>3.5</v>
      </c>
      <c r="G612" s="6">
        <v>0.25</v>
      </c>
      <c r="H612" s="6">
        <v>0.2</v>
      </c>
      <c r="I612" s="6">
        <v>0</v>
      </c>
      <c r="J612" s="6">
        <v>0.2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0.0004</v>
      </c>
      <c r="S612" s="6">
        <v>0</v>
      </c>
      <c r="T612" s="8">
        <f t="shared" si="20"/>
        <v>94.9996</v>
      </c>
      <c r="U612" s="7">
        <v>25</v>
      </c>
      <c r="V612" s="6">
        <v>25</v>
      </c>
      <c r="W612" s="6">
        <v>0</v>
      </c>
      <c r="X612" s="6" t="s">
        <v>42</v>
      </c>
      <c r="Y612" s="6" t="s">
        <v>35</v>
      </c>
      <c r="Z612" s="6" t="s">
        <v>67</v>
      </c>
      <c r="AA612" s="6" t="s">
        <v>37</v>
      </c>
      <c r="AB612" s="6" t="s">
        <v>37</v>
      </c>
      <c r="AC612" s="6" t="s">
        <v>43</v>
      </c>
      <c r="AD612" s="26" t="s">
        <v>68</v>
      </c>
      <c r="AE612" s="7">
        <v>75</v>
      </c>
      <c r="AF612" s="6">
        <v>205</v>
      </c>
      <c r="AG612" s="34">
        <v>13</v>
      </c>
      <c r="AH612" s="31" t="s">
        <v>54</v>
      </c>
    </row>
    <row r="613" s="3" customFormat="1" ht="13.9" spans="1:34">
      <c r="A613" s="3">
        <v>5154</v>
      </c>
      <c r="B613" s="16">
        <v>0.25</v>
      </c>
      <c r="C613" s="3">
        <v>0.4</v>
      </c>
      <c r="D613" s="3">
        <v>0.1</v>
      </c>
      <c r="E613" s="3">
        <v>0.1</v>
      </c>
      <c r="F613" s="3">
        <v>3.5</v>
      </c>
      <c r="G613" s="3">
        <v>0.25</v>
      </c>
      <c r="H613" s="3">
        <v>0.2</v>
      </c>
      <c r="I613" s="3">
        <v>0</v>
      </c>
      <c r="J613" s="3">
        <v>0.2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0.0004</v>
      </c>
      <c r="S613" s="3">
        <v>0</v>
      </c>
      <c r="T613" s="22">
        <f t="shared" si="20"/>
        <v>94.9996</v>
      </c>
      <c r="U613" s="16">
        <v>345</v>
      </c>
      <c r="V613" s="3">
        <v>25</v>
      </c>
      <c r="W613" s="3">
        <v>0</v>
      </c>
      <c r="X613" s="3" t="s">
        <v>42</v>
      </c>
      <c r="Y613" s="3" t="s">
        <v>50</v>
      </c>
      <c r="Z613" s="3" t="s">
        <v>37</v>
      </c>
      <c r="AA613" s="3" t="s">
        <v>37</v>
      </c>
      <c r="AB613" s="3" t="s">
        <v>37</v>
      </c>
      <c r="AC613" s="3" t="s">
        <v>43</v>
      </c>
      <c r="AD613" s="27" t="s">
        <v>57</v>
      </c>
      <c r="AE613" s="16">
        <v>75</v>
      </c>
      <c r="AF613" s="3">
        <v>205</v>
      </c>
      <c r="AG613" s="38">
        <v>15</v>
      </c>
      <c r="AH613" s="33" t="s">
        <v>54</v>
      </c>
    </row>
    <row r="614" ht="13.9" spans="1:34">
      <c r="A614" s="6">
        <v>5182</v>
      </c>
      <c r="B614" s="7">
        <v>0.2</v>
      </c>
      <c r="C614" s="6">
        <v>0.35</v>
      </c>
      <c r="D614" s="6">
        <v>0.15</v>
      </c>
      <c r="E614" s="6">
        <v>0.35</v>
      </c>
      <c r="F614" s="6">
        <v>4.5</v>
      </c>
      <c r="G614" s="6">
        <v>0.1</v>
      </c>
      <c r="H614" s="6">
        <v>0.25</v>
      </c>
      <c r="I614" s="6">
        <v>0</v>
      </c>
      <c r="J614" s="6">
        <v>0.1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8">
        <f t="shared" si="20"/>
        <v>94</v>
      </c>
      <c r="U614" s="7">
        <v>25</v>
      </c>
      <c r="V614" s="6">
        <v>25</v>
      </c>
      <c r="W614" s="6">
        <v>0</v>
      </c>
      <c r="X614" s="6" t="s">
        <v>42</v>
      </c>
      <c r="Y614" s="6" t="s">
        <v>35</v>
      </c>
      <c r="Z614" s="6" t="s">
        <v>46</v>
      </c>
      <c r="AA614" s="6" t="s">
        <v>37</v>
      </c>
      <c r="AB614" s="6" t="s">
        <v>149</v>
      </c>
      <c r="AC614" s="6" t="s">
        <v>43</v>
      </c>
      <c r="AD614" s="26" t="s">
        <v>152</v>
      </c>
      <c r="AE614" s="7">
        <v>283</v>
      </c>
      <c r="AF614" s="6">
        <v>338</v>
      </c>
      <c r="AG614" s="34">
        <v>10</v>
      </c>
      <c r="AH614" s="31" t="s">
        <v>54</v>
      </c>
    </row>
    <row r="615" ht="13.9" spans="1:34">
      <c r="A615" s="6">
        <v>5182</v>
      </c>
      <c r="B615" s="7">
        <v>0.2</v>
      </c>
      <c r="C615" s="6">
        <v>0.35</v>
      </c>
      <c r="D615" s="6">
        <v>0.15</v>
      </c>
      <c r="E615" s="6">
        <v>0.35</v>
      </c>
      <c r="F615" s="6">
        <v>4.5</v>
      </c>
      <c r="G615" s="6">
        <v>0.1</v>
      </c>
      <c r="H615" s="6">
        <v>0.25</v>
      </c>
      <c r="I615" s="6">
        <v>0</v>
      </c>
      <c r="J615" s="6">
        <v>0.1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8">
        <f t="shared" si="20"/>
        <v>94</v>
      </c>
      <c r="U615" s="7">
        <v>25</v>
      </c>
      <c r="V615" s="6">
        <v>25</v>
      </c>
      <c r="W615" s="6">
        <v>0</v>
      </c>
      <c r="X615" s="6" t="s">
        <v>42</v>
      </c>
      <c r="Y615" s="6" t="s">
        <v>35</v>
      </c>
      <c r="Z615" s="6" t="s">
        <v>65</v>
      </c>
      <c r="AA615" s="6" t="s">
        <v>37</v>
      </c>
      <c r="AB615" s="6" t="s">
        <v>149</v>
      </c>
      <c r="AC615" s="6" t="s">
        <v>43</v>
      </c>
      <c r="AD615" s="26" t="s">
        <v>153</v>
      </c>
      <c r="AE615" s="7">
        <v>234</v>
      </c>
      <c r="AF615" s="6">
        <v>317</v>
      </c>
      <c r="AG615" s="34">
        <v>12</v>
      </c>
      <c r="AH615" s="31" t="s">
        <v>54</v>
      </c>
    </row>
    <row r="616" s="3" customFormat="1" ht="13.9" spans="1:34">
      <c r="A616" s="3">
        <v>5182</v>
      </c>
      <c r="B616" s="16">
        <v>0.2</v>
      </c>
      <c r="C616" s="3">
        <v>0.35</v>
      </c>
      <c r="D616" s="3">
        <v>0.15</v>
      </c>
      <c r="E616" s="3">
        <v>0.35</v>
      </c>
      <c r="F616" s="3">
        <v>4.5</v>
      </c>
      <c r="G616" s="3">
        <v>0.1</v>
      </c>
      <c r="H616" s="3">
        <v>0.25</v>
      </c>
      <c r="I616" s="3">
        <v>0</v>
      </c>
      <c r="J616" s="3">
        <v>0.1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22">
        <f t="shared" si="20"/>
        <v>94</v>
      </c>
      <c r="U616" s="16">
        <v>345</v>
      </c>
      <c r="V616" s="3">
        <v>25</v>
      </c>
      <c r="W616" s="3">
        <v>0</v>
      </c>
      <c r="X616" s="3" t="s">
        <v>42</v>
      </c>
      <c r="Y616" s="3" t="s">
        <v>50</v>
      </c>
      <c r="Z616" s="3" t="s">
        <v>37</v>
      </c>
      <c r="AA616" s="3" t="s">
        <v>37</v>
      </c>
      <c r="AB616" s="3" t="s">
        <v>37</v>
      </c>
      <c r="AC616" s="3" t="s">
        <v>43</v>
      </c>
      <c r="AD616" s="27" t="s">
        <v>57</v>
      </c>
      <c r="AE616" s="16">
        <v>138</v>
      </c>
      <c r="AF616" s="3">
        <v>276</v>
      </c>
      <c r="AG616" s="38">
        <v>25</v>
      </c>
      <c r="AH616" s="33" t="s">
        <v>54</v>
      </c>
    </row>
    <row r="617" ht="13.9" spans="1:34">
      <c r="A617" s="6">
        <v>5252</v>
      </c>
      <c r="B617" s="7">
        <v>0.08</v>
      </c>
      <c r="C617" s="6">
        <v>0.1</v>
      </c>
      <c r="D617" s="6">
        <v>0.1</v>
      </c>
      <c r="E617" s="6">
        <v>0.1</v>
      </c>
      <c r="F617" s="6">
        <v>2.5</v>
      </c>
      <c r="G617" s="6">
        <v>0</v>
      </c>
      <c r="H617" s="6">
        <v>0.05</v>
      </c>
      <c r="I617" s="6">
        <v>0.05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8">
        <f t="shared" si="20"/>
        <v>97.02</v>
      </c>
      <c r="U617" s="7">
        <v>25</v>
      </c>
      <c r="V617" s="6">
        <v>25</v>
      </c>
      <c r="W617" s="6">
        <v>0</v>
      </c>
      <c r="X617" s="6" t="s">
        <v>42</v>
      </c>
      <c r="Y617" s="6" t="s">
        <v>35</v>
      </c>
      <c r="Z617" s="6" t="s">
        <v>36</v>
      </c>
      <c r="AA617" s="6" t="s">
        <v>37</v>
      </c>
      <c r="AB617" s="6" t="s">
        <v>149</v>
      </c>
      <c r="AC617" s="6" t="s">
        <v>43</v>
      </c>
      <c r="AD617" s="26" t="s">
        <v>150</v>
      </c>
      <c r="AE617" s="7">
        <v>240</v>
      </c>
      <c r="AF617" s="6">
        <v>283</v>
      </c>
      <c r="AG617" s="10">
        <v>5</v>
      </c>
      <c r="AH617" s="31" t="s">
        <v>54</v>
      </c>
    </row>
    <row r="618" ht="13.9" spans="1:34">
      <c r="A618" s="6">
        <v>5252</v>
      </c>
      <c r="B618" s="7">
        <v>0.08</v>
      </c>
      <c r="C618" s="6">
        <v>0.1</v>
      </c>
      <c r="D618" s="6">
        <v>0.1</v>
      </c>
      <c r="E618" s="6">
        <v>0.1</v>
      </c>
      <c r="F618" s="6">
        <v>2.5</v>
      </c>
      <c r="G618" s="6">
        <v>0</v>
      </c>
      <c r="H618" s="6">
        <v>0.05</v>
      </c>
      <c r="I618" s="6">
        <v>0.05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8">
        <f t="shared" si="20"/>
        <v>97.02</v>
      </c>
      <c r="U618" s="7">
        <v>25</v>
      </c>
      <c r="V618" s="6">
        <v>25</v>
      </c>
      <c r="W618" s="6">
        <v>0</v>
      </c>
      <c r="X618" s="6" t="s">
        <v>42</v>
      </c>
      <c r="Y618" s="6" t="s">
        <v>35</v>
      </c>
      <c r="Z618" s="6" t="s">
        <v>36</v>
      </c>
      <c r="AA618" s="6" t="s">
        <v>37</v>
      </c>
      <c r="AB618" s="6" t="s">
        <v>61</v>
      </c>
      <c r="AC618" s="6" t="s">
        <v>43</v>
      </c>
      <c r="AD618" s="26" t="s">
        <v>162</v>
      </c>
      <c r="AE618" s="7">
        <v>240</v>
      </c>
      <c r="AF618" s="6">
        <v>272</v>
      </c>
      <c r="AG618" s="10">
        <v>4</v>
      </c>
      <c r="AH618" s="31" t="s">
        <v>54</v>
      </c>
    </row>
    <row r="619" s="3" customFormat="1" ht="13.9" spans="1:34">
      <c r="A619" s="3">
        <v>5252</v>
      </c>
      <c r="B619" s="16">
        <v>0.08</v>
      </c>
      <c r="C619" s="3">
        <v>0.1</v>
      </c>
      <c r="D619" s="3">
        <v>0.1</v>
      </c>
      <c r="E619" s="3">
        <v>0.1</v>
      </c>
      <c r="F619" s="3">
        <v>2.5</v>
      </c>
      <c r="G619" s="3">
        <v>0</v>
      </c>
      <c r="H619" s="3">
        <v>0.05</v>
      </c>
      <c r="I619" s="3">
        <v>0.05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22">
        <f t="shared" si="20"/>
        <v>97.02</v>
      </c>
      <c r="U619" s="16">
        <v>25</v>
      </c>
      <c r="V619" s="3">
        <v>25</v>
      </c>
      <c r="W619" s="3">
        <v>0</v>
      </c>
      <c r="X619" s="3" t="s">
        <v>42</v>
      </c>
      <c r="Y619" s="3" t="s">
        <v>35</v>
      </c>
      <c r="Z619" s="3" t="s">
        <v>46</v>
      </c>
      <c r="AA619" s="3" t="s">
        <v>37</v>
      </c>
      <c r="AB619" s="3" t="s">
        <v>61</v>
      </c>
      <c r="AC619" s="3" t="s">
        <v>43</v>
      </c>
      <c r="AD619" s="27" t="s">
        <v>62</v>
      </c>
      <c r="AE619" s="16" t="s">
        <v>40</v>
      </c>
      <c r="AF619" s="3">
        <v>232.5</v>
      </c>
      <c r="AG619" s="32">
        <v>10</v>
      </c>
      <c r="AH619" s="33" t="s">
        <v>54</v>
      </c>
    </row>
    <row r="620" ht="13.9" spans="1:34">
      <c r="A620" s="6">
        <v>5254</v>
      </c>
      <c r="B620" s="7">
        <v>0.225</v>
      </c>
      <c r="C620" s="6">
        <v>0.225</v>
      </c>
      <c r="D620" s="6">
        <v>0.05</v>
      </c>
      <c r="E620" s="6">
        <v>0.01</v>
      </c>
      <c r="F620" s="6">
        <v>3.5</v>
      </c>
      <c r="G620" s="6">
        <v>0.25</v>
      </c>
      <c r="H620" s="6">
        <v>0.2</v>
      </c>
      <c r="I620" s="6">
        <v>0</v>
      </c>
      <c r="J620" s="6">
        <v>0.05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8">
        <f t="shared" si="20"/>
        <v>95.49</v>
      </c>
      <c r="U620" s="7">
        <v>25</v>
      </c>
      <c r="V620" s="6">
        <v>25</v>
      </c>
      <c r="W620" s="6">
        <v>0</v>
      </c>
      <c r="X620" s="6" t="s">
        <v>53</v>
      </c>
      <c r="Y620" s="6" t="s">
        <v>35</v>
      </c>
      <c r="Z620" s="6" t="s">
        <v>36</v>
      </c>
      <c r="AA620" s="6" t="s">
        <v>37</v>
      </c>
      <c r="AB620" s="6" t="s">
        <v>149</v>
      </c>
      <c r="AC620" s="6" t="s">
        <v>53</v>
      </c>
      <c r="AD620" s="26" t="s">
        <v>150</v>
      </c>
      <c r="AE620" s="7">
        <v>255</v>
      </c>
      <c r="AF620" s="6">
        <v>320</v>
      </c>
      <c r="AG620" s="34">
        <v>7</v>
      </c>
      <c r="AH620" s="31" t="s">
        <v>54</v>
      </c>
    </row>
    <row r="621" ht="13.9" spans="1:34">
      <c r="A621" s="6">
        <v>5254</v>
      </c>
      <c r="B621" s="7">
        <v>0.225</v>
      </c>
      <c r="C621" s="6">
        <v>0.225</v>
      </c>
      <c r="D621" s="6">
        <v>0.05</v>
      </c>
      <c r="E621" s="6">
        <v>0.01</v>
      </c>
      <c r="F621" s="6">
        <v>3.5</v>
      </c>
      <c r="G621" s="6">
        <v>0.25</v>
      </c>
      <c r="H621" s="6">
        <v>0.2</v>
      </c>
      <c r="I621" s="6">
        <v>0</v>
      </c>
      <c r="J621" s="6">
        <v>0.05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8">
        <f t="shared" si="20"/>
        <v>95.49</v>
      </c>
      <c r="U621" s="7">
        <v>25</v>
      </c>
      <c r="V621" s="6">
        <v>25</v>
      </c>
      <c r="W621" s="6">
        <v>0</v>
      </c>
      <c r="X621" s="6" t="s">
        <v>53</v>
      </c>
      <c r="Y621" s="6" t="s">
        <v>35</v>
      </c>
      <c r="Z621" s="6" t="s">
        <v>55</v>
      </c>
      <c r="AA621" s="6" t="s">
        <v>37</v>
      </c>
      <c r="AB621" s="6" t="s">
        <v>149</v>
      </c>
      <c r="AC621" s="6" t="s">
        <v>53</v>
      </c>
      <c r="AD621" s="26" t="s">
        <v>151</v>
      </c>
      <c r="AE621" s="7">
        <v>235</v>
      </c>
      <c r="AF621" s="6">
        <v>313</v>
      </c>
      <c r="AG621" s="34">
        <v>8</v>
      </c>
      <c r="AH621" s="31" t="s">
        <v>54</v>
      </c>
    </row>
    <row r="622" ht="13.9" spans="1:34">
      <c r="A622" s="6">
        <v>5254</v>
      </c>
      <c r="B622" s="7">
        <v>0.225</v>
      </c>
      <c r="C622" s="6">
        <v>0.225</v>
      </c>
      <c r="D622" s="6">
        <v>0.05</v>
      </c>
      <c r="E622" s="6">
        <v>0.01</v>
      </c>
      <c r="F622" s="6">
        <v>3.5</v>
      </c>
      <c r="G622" s="6">
        <v>0.25</v>
      </c>
      <c r="H622" s="6">
        <v>0.2</v>
      </c>
      <c r="I622" s="6">
        <v>0</v>
      </c>
      <c r="J622" s="6">
        <v>0.05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8">
        <f t="shared" si="20"/>
        <v>95.49</v>
      </c>
      <c r="U622" s="7">
        <v>25</v>
      </c>
      <c r="V622" s="6">
        <v>25</v>
      </c>
      <c r="W622" s="6">
        <v>0</v>
      </c>
      <c r="X622" s="6" t="s">
        <v>53</v>
      </c>
      <c r="Y622" s="6" t="s">
        <v>35</v>
      </c>
      <c r="Z622" s="6" t="s">
        <v>46</v>
      </c>
      <c r="AA622" s="6" t="s">
        <v>37</v>
      </c>
      <c r="AB622" s="6" t="s">
        <v>149</v>
      </c>
      <c r="AC622" s="6" t="s">
        <v>53</v>
      </c>
      <c r="AD622" s="26" t="s">
        <v>152</v>
      </c>
      <c r="AE622" s="7">
        <v>215</v>
      </c>
      <c r="AF622" s="6">
        <v>291</v>
      </c>
      <c r="AG622" s="34">
        <v>10</v>
      </c>
      <c r="AH622" s="31" t="s">
        <v>54</v>
      </c>
    </row>
    <row r="623" ht="13.9" spans="1:34">
      <c r="A623" s="6">
        <v>5254</v>
      </c>
      <c r="B623" s="7">
        <v>0.225</v>
      </c>
      <c r="C623" s="6">
        <v>0.225</v>
      </c>
      <c r="D623" s="6">
        <v>0.05</v>
      </c>
      <c r="E623" s="6">
        <v>0.01</v>
      </c>
      <c r="F623" s="6">
        <v>3.5</v>
      </c>
      <c r="G623" s="6">
        <v>0.25</v>
      </c>
      <c r="H623" s="6">
        <v>0.2</v>
      </c>
      <c r="I623" s="6">
        <v>0</v>
      </c>
      <c r="J623" s="6">
        <v>0.05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8">
        <f t="shared" si="20"/>
        <v>95.49</v>
      </c>
      <c r="U623" s="7">
        <v>25</v>
      </c>
      <c r="V623" s="6">
        <v>25</v>
      </c>
      <c r="W623" s="6">
        <v>0</v>
      </c>
      <c r="X623" s="6" t="s">
        <v>53</v>
      </c>
      <c r="Y623" s="6" t="s">
        <v>35</v>
      </c>
      <c r="Z623" s="6" t="s">
        <v>65</v>
      </c>
      <c r="AA623" s="6" t="s">
        <v>37</v>
      </c>
      <c r="AB623" s="6" t="s">
        <v>149</v>
      </c>
      <c r="AC623" s="6" t="s">
        <v>53</v>
      </c>
      <c r="AD623" s="26" t="s">
        <v>153</v>
      </c>
      <c r="AE623" s="7">
        <v>193</v>
      </c>
      <c r="AF623" s="6">
        <v>271</v>
      </c>
      <c r="AG623" s="34">
        <v>11.8</v>
      </c>
      <c r="AH623" s="31" t="s">
        <v>54</v>
      </c>
    </row>
    <row r="624" ht="13.9" spans="1:34">
      <c r="A624" s="6">
        <v>5254</v>
      </c>
      <c r="B624" s="7">
        <v>0.225</v>
      </c>
      <c r="C624" s="6">
        <v>0.225</v>
      </c>
      <c r="D624" s="6">
        <v>0.05</v>
      </c>
      <c r="E624" s="6">
        <v>0.01</v>
      </c>
      <c r="F624" s="6">
        <v>3.5</v>
      </c>
      <c r="G624" s="6">
        <v>0.25</v>
      </c>
      <c r="H624" s="6">
        <v>0.2</v>
      </c>
      <c r="I624" s="6">
        <v>0</v>
      </c>
      <c r="J624" s="6">
        <v>0.05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8">
        <f t="shared" si="20"/>
        <v>95.49</v>
      </c>
      <c r="U624" s="7">
        <v>345</v>
      </c>
      <c r="V624" s="6">
        <v>25</v>
      </c>
      <c r="W624" s="6">
        <v>0</v>
      </c>
      <c r="X624" s="6" t="s">
        <v>53</v>
      </c>
      <c r="Y624" s="6" t="s">
        <v>50</v>
      </c>
      <c r="Z624" s="6" t="s">
        <v>37</v>
      </c>
      <c r="AA624" s="6" t="s">
        <v>37</v>
      </c>
      <c r="AB624" s="6" t="s">
        <v>37</v>
      </c>
      <c r="AC624" s="6" t="s">
        <v>53</v>
      </c>
      <c r="AD624" s="26" t="s">
        <v>57</v>
      </c>
      <c r="AE624" s="7">
        <v>105</v>
      </c>
      <c r="AF624" s="6">
        <v>242</v>
      </c>
      <c r="AG624" s="34">
        <v>24</v>
      </c>
      <c r="AH624" s="31" t="s">
        <v>54</v>
      </c>
    </row>
    <row r="625" ht="13.9" spans="1:34">
      <c r="A625" s="6">
        <v>5254</v>
      </c>
      <c r="B625" s="7">
        <v>0.225</v>
      </c>
      <c r="C625" s="6">
        <v>0.225</v>
      </c>
      <c r="D625" s="6">
        <v>0.05</v>
      </c>
      <c r="E625" s="6">
        <v>0.01</v>
      </c>
      <c r="F625" s="6">
        <v>3.5</v>
      </c>
      <c r="G625" s="6">
        <v>0.25</v>
      </c>
      <c r="H625" s="6">
        <v>0.2</v>
      </c>
      <c r="I625" s="6">
        <v>0</v>
      </c>
      <c r="J625" s="6">
        <v>0.05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8">
        <f t="shared" si="20"/>
        <v>95.49</v>
      </c>
      <c r="U625" s="7">
        <v>25</v>
      </c>
      <c r="V625" s="6">
        <v>25</v>
      </c>
      <c r="W625" s="6">
        <v>0</v>
      </c>
      <c r="X625" s="6" t="s">
        <v>53</v>
      </c>
      <c r="Y625" s="6" t="s">
        <v>35</v>
      </c>
      <c r="Z625" s="6" t="s">
        <v>67</v>
      </c>
      <c r="AA625" s="6" t="s">
        <v>37</v>
      </c>
      <c r="AB625" s="6" t="s">
        <v>37</v>
      </c>
      <c r="AC625" s="6" t="s">
        <v>53</v>
      </c>
      <c r="AD625" s="26" t="s">
        <v>68</v>
      </c>
      <c r="AE625" s="7">
        <v>115</v>
      </c>
      <c r="AF625" s="6">
        <v>240</v>
      </c>
      <c r="AG625" s="34">
        <v>25</v>
      </c>
      <c r="AH625" s="31" t="s">
        <v>54</v>
      </c>
    </row>
    <row r="626" s="3" customFormat="1" ht="13.9" spans="1:34">
      <c r="A626" s="3">
        <v>5254</v>
      </c>
      <c r="B626" s="16">
        <v>0.225</v>
      </c>
      <c r="C626" s="3">
        <v>0.225</v>
      </c>
      <c r="D626" s="3">
        <v>0.05</v>
      </c>
      <c r="E626" s="3">
        <v>0.01</v>
      </c>
      <c r="F626" s="3">
        <v>3.5</v>
      </c>
      <c r="G626" s="3">
        <v>0.25</v>
      </c>
      <c r="H626" s="3">
        <v>0.2</v>
      </c>
      <c r="I626" s="3">
        <v>0</v>
      </c>
      <c r="J626" s="3">
        <v>0.05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22">
        <f t="shared" ref="T626:T668" si="21">100-SUM(B626:S626)</f>
        <v>95.49</v>
      </c>
      <c r="U626" s="16">
        <v>25</v>
      </c>
      <c r="V626" s="3">
        <v>25</v>
      </c>
      <c r="W626" s="3">
        <v>0</v>
      </c>
      <c r="X626" s="3" t="s">
        <v>42</v>
      </c>
      <c r="Y626" s="3" t="s">
        <v>35</v>
      </c>
      <c r="Z626" s="3" t="s">
        <v>67</v>
      </c>
      <c r="AA626" s="3" t="s">
        <v>37</v>
      </c>
      <c r="AB626" s="3" t="s">
        <v>37</v>
      </c>
      <c r="AC626" s="3" t="s">
        <v>59</v>
      </c>
      <c r="AD626" s="27" t="s">
        <v>68</v>
      </c>
      <c r="AE626" s="16">
        <v>100</v>
      </c>
      <c r="AF626" s="3">
        <v>213</v>
      </c>
      <c r="AG626" s="38">
        <v>10.5</v>
      </c>
      <c r="AH626" s="33" t="s">
        <v>54</v>
      </c>
    </row>
    <row r="627" ht="13.9" spans="1:34">
      <c r="A627" s="6">
        <v>5454</v>
      </c>
      <c r="B627" s="7">
        <v>0.25</v>
      </c>
      <c r="C627" s="6">
        <v>0.4</v>
      </c>
      <c r="D627" s="6">
        <v>0.1</v>
      </c>
      <c r="E627" s="6">
        <v>0.75</v>
      </c>
      <c r="F627" s="6">
        <v>2.7</v>
      </c>
      <c r="G627" s="6">
        <v>0.125</v>
      </c>
      <c r="H627" s="6">
        <v>0.25</v>
      </c>
      <c r="I627" s="6">
        <v>0</v>
      </c>
      <c r="J627" s="6">
        <v>0.2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8">
        <f t="shared" si="21"/>
        <v>95.225</v>
      </c>
      <c r="U627" s="7">
        <v>25</v>
      </c>
      <c r="V627" s="6">
        <v>25</v>
      </c>
      <c r="W627" s="6">
        <v>0</v>
      </c>
      <c r="X627" s="6" t="s">
        <v>53</v>
      </c>
      <c r="Y627" s="6" t="s">
        <v>35</v>
      </c>
      <c r="Z627" s="6" t="s">
        <v>36</v>
      </c>
      <c r="AA627" s="6" t="s">
        <v>37</v>
      </c>
      <c r="AB627" s="6" t="s">
        <v>149</v>
      </c>
      <c r="AC627" s="6" t="s">
        <v>53</v>
      </c>
      <c r="AD627" s="26" t="s">
        <v>150</v>
      </c>
      <c r="AE627" s="7">
        <v>310</v>
      </c>
      <c r="AF627" s="6">
        <v>370</v>
      </c>
      <c r="AG627" s="34">
        <v>8</v>
      </c>
      <c r="AH627" s="31" t="s">
        <v>54</v>
      </c>
    </row>
    <row r="628" ht="13.9" spans="1:34">
      <c r="A628" s="6">
        <v>5454</v>
      </c>
      <c r="B628" s="7">
        <v>0.25</v>
      </c>
      <c r="C628" s="6">
        <v>0.4</v>
      </c>
      <c r="D628" s="6">
        <v>0.1</v>
      </c>
      <c r="E628" s="6">
        <v>0.75</v>
      </c>
      <c r="F628" s="6">
        <v>2.7</v>
      </c>
      <c r="G628" s="6">
        <v>0.125</v>
      </c>
      <c r="H628" s="6">
        <v>0.25</v>
      </c>
      <c r="I628" s="6">
        <v>0</v>
      </c>
      <c r="J628" s="6">
        <v>0.2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8">
        <f t="shared" si="21"/>
        <v>95.225</v>
      </c>
      <c r="U628" s="7">
        <v>25</v>
      </c>
      <c r="V628" s="6">
        <v>25</v>
      </c>
      <c r="W628" s="6">
        <v>0</v>
      </c>
      <c r="X628" s="6" t="s">
        <v>53</v>
      </c>
      <c r="Y628" s="6" t="s">
        <v>35</v>
      </c>
      <c r="Z628" s="6" t="s">
        <v>55</v>
      </c>
      <c r="AA628" s="6" t="s">
        <v>37</v>
      </c>
      <c r="AB628" s="6" t="s">
        <v>149</v>
      </c>
      <c r="AC628" s="6" t="s">
        <v>53</v>
      </c>
      <c r="AD628" s="26" t="s">
        <v>151</v>
      </c>
      <c r="AE628" s="7">
        <v>276</v>
      </c>
      <c r="AF628" s="6">
        <v>340</v>
      </c>
      <c r="AG628" s="34">
        <v>8</v>
      </c>
      <c r="AH628" s="31" t="s">
        <v>54</v>
      </c>
    </row>
    <row r="629" ht="13.9" spans="1:34">
      <c r="A629" s="6">
        <v>5454</v>
      </c>
      <c r="B629" s="7">
        <v>0.25</v>
      </c>
      <c r="C629" s="6">
        <v>0.4</v>
      </c>
      <c r="D629" s="6">
        <v>0.1</v>
      </c>
      <c r="E629" s="6">
        <v>0.75</v>
      </c>
      <c r="F629" s="6">
        <v>2.7</v>
      </c>
      <c r="G629" s="6">
        <v>0.125</v>
      </c>
      <c r="H629" s="6">
        <v>0.25</v>
      </c>
      <c r="I629" s="6">
        <v>0</v>
      </c>
      <c r="J629" s="6">
        <v>0.2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8">
        <f t="shared" si="21"/>
        <v>95.225</v>
      </c>
      <c r="U629" s="7">
        <v>25</v>
      </c>
      <c r="V629" s="6">
        <v>25</v>
      </c>
      <c r="W629" s="6">
        <v>0</v>
      </c>
      <c r="X629" s="6" t="s">
        <v>53</v>
      </c>
      <c r="Y629" s="6" t="s">
        <v>35</v>
      </c>
      <c r="Z629" s="6" t="s">
        <v>46</v>
      </c>
      <c r="AA629" s="6" t="s">
        <v>37</v>
      </c>
      <c r="AB629" s="6" t="s">
        <v>149</v>
      </c>
      <c r="AC629" s="6" t="s">
        <v>53</v>
      </c>
      <c r="AD629" s="26" t="s">
        <v>152</v>
      </c>
      <c r="AE629" s="7">
        <v>227</v>
      </c>
      <c r="AF629" s="6">
        <v>303</v>
      </c>
      <c r="AG629" s="34">
        <v>11</v>
      </c>
      <c r="AH629" s="31" t="s">
        <v>54</v>
      </c>
    </row>
    <row r="630" ht="13.9" spans="1:34">
      <c r="A630" s="6">
        <v>5454</v>
      </c>
      <c r="B630" s="7">
        <v>0.25</v>
      </c>
      <c r="C630" s="6">
        <v>0.4</v>
      </c>
      <c r="D630" s="6">
        <v>0.1</v>
      </c>
      <c r="E630" s="6">
        <v>0.75</v>
      </c>
      <c r="F630" s="6">
        <v>2.7</v>
      </c>
      <c r="G630" s="6">
        <v>0.125</v>
      </c>
      <c r="H630" s="6">
        <v>0.25</v>
      </c>
      <c r="I630" s="6">
        <v>0</v>
      </c>
      <c r="J630" s="6">
        <v>0.2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8">
        <f t="shared" si="21"/>
        <v>95.225</v>
      </c>
      <c r="U630" s="7">
        <v>25</v>
      </c>
      <c r="V630" s="6">
        <v>25</v>
      </c>
      <c r="W630" s="6">
        <v>0</v>
      </c>
      <c r="X630" s="6" t="s">
        <v>53</v>
      </c>
      <c r="Y630" s="6" t="s">
        <v>35</v>
      </c>
      <c r="Z630" s="6" t="s">
        <v>65</v>
      </c>
      <c r="AA630" s="6" t="s">
        <v>37</v>
      </c>
      <c r="AB630" s="6" t="s">
        <v>149</v>
      </c>
      <c r="AC630" s="6" t="s">
        <v>53</v>
      </c>
      <c r="AD630" s="26" t="s">
        <v>153</v>
      </c>
      <c r="AE630" s="7">
        <v>197</v>
      </c>
      <c r="AF630" s="6">
        <v>276</v>
      </c>
      <c r="AG630" s="34">
        <v>12.2</v>
      </c>
      <c r="AH630" s="31" t="s">
        <v>54</v>
      </c>
    </row>
    <row r="631" ht="13.9" spans="1:34">
      <c r="A631" s="6">
        <v>5454</v>
      </c>
      <c r="B631" s="7">
        <v>0.25</v>
      </c>
      <c r="C631" s="6">
        <v>0.4</v>
      </c>
      <c r="D631" s="6">
        <v>0.1</v>
      </c>
      <c r="E631" s="6">
        <v>0.75</v>
      </c>
      <c r="F631" s="6">
        <v>2.7</v>
      </c>
      <c r="G631" s="6">
        <v>0.125</v>
      </c>
      <c r="H631" s="6">
        <v>0.25</v>
      </c>
      <c r="I631" s="6">
        <v>0</v>
      </c>
      <c r="J631" s="6">
        <v>0.2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8">
        <f t="shared" si="21"/>
        <v>95.225</v>
      </c>
      <c r="U631" s="7">
        <v>25</v>
      </c>
      <c r="V631" s="6">
        <v>25</v>
      </c>
      <c r="W631" s="6">
        <v>0</v>
      </c>
      <c r="X631" s="6" t="s">
        <v>53</v>
      </c>
      <c r="Y631" s="6" t="s">
        <v>35</v>
      </c>
      <c r="Z631" s="6" t="s">
        <v>48</v>
      </c>
      <c r="AA631" s="6" t="s">
        <v>37</v>
      </c>
      <c r="AB631" s="6" t="s">
        <v>37</v>
      </c>
      <c r="AC631" s="6" t="s">
        <v>53</v>
      </c>
      <c r="AD631" s="26" t="s">
        <v>49</v>
      </c>
      <c r="AE631" s="7">
        <v>179</v>
      </c>
      <c r="AF631" s="6">
        <v>260</v>
      </c>
      <c r="AG631" s="34">
        <v>14</v>
      </c>
      <c r="AH631" s="31" t="s">
        <v>54</v>
      </c>
    </row>
    <row r="632" ht="13.9" spans="1:34">
      <c r="A632" s="6">
        <v>5454</v>
      </c>
      <c r="B632" s="7">
        <v>0.25</v>
      </c>
      <c r="C632" s="6">
        <v>0.4</v>
      </c>
      <c r="D632" s="6">
        <v>0.1</v>
      </c>
      <c r="E632" s="6">
        <v>0.75</v>
      </c>
      <c r="F632" s="6">
        <v>2.7</v>
      </c>
      <c r="G632" s="6">
        <v>0.125</v>
      </c>
      <c r="H632" s="6">
        <v>0.25</v>
      </c>
      <c r="I632" s="6">
        <v>0</v>
      </c>
      <c r="J632" s="6">
        <v>0.2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8">
        <f t="shared" si="21"/>
        <v>95.225</v>
      </c>
      <c r="U632" s="7">
        <v>25</v>
      </c>
      <c r="V632" s="6">
        <v>25</v>
      </c>
      <c r="W632" s="6">
        <v>0</v>
      </c>
      <c r="X632" s="6" t="s">
        <v>53</v>
      </c>
      <c r="Y632" s="6" t="s">
        <v>35</v>
      </c>
      <c r="Z632" s="6" t="s">
        <v>48</v>
      </c>
      <c r="AA632" s="6" t="s">
        <v>37</v>
      </c>
      <c r="AB632" s="6" t="s">
        <v>149</v>
      </c>
      <c r="AC632" s="6" t="s">
        <v>53</v>
      </c>
      <c r="AD632" s="26" t="s">
        <v>163</v>
      </c>
      <c r="AE632" s="7">
        <v>179</v>
      </c>
      <c r="AF632" s="6">
        <v>260</v>
      </c>
      <c r="AG632" s="34">
        <v>18</v>
      </c>
      <c r="AH632" s="31" t="s">
        <v>54</v>
      </c>
    </row>
    <row r="633" ht="13.9" spans="1:34">
      <c r="A633" s="6">
        <v>5454</v>
      </c>
      <c r="B633" s="7">
        <v>0.25</v>
      </c>
      <c r="C633" s="6">
        <v>0.4</v>
      </c>
      <c r="D633" s="6">
        <v>0.1</v>
      </c>
      <c r="E633" s="6">
        <v>0.75</v>
      </c>
      <c r="F633" s="6">
        <v>2.7</v>
      </c>
      <c r="G633" s="6">
        <v>0.125</v>
      </c>
      <c r="H633" s="6">
        <v>0.25</v>
      </c>
      <c r="I633" s="6">
        <v>0</v>
      </c>
      <c r="J633" s="6">
        <v>0.2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8">
        <f t="shared" si="21"/>
        <v>95.225</v>
      </c>
      <c r="U633" s="7">
        <v>25</v>
      </c>
      <c r="V633" s="6">
        <v>25</v>
      </c>
      <c r="W633" s="6">
        <v>0</v>
      </c>
      <c r="X633" s="6" t="s">
        <v>53</v>
      </c>
      <c r="Y633" s="6" t="s">
        <v>35</v>
      </c>
      <c r="Z633" s="6" t="s">
        <v>67</v>
      </c>
      <c r="AA633" s="6" t="s">
        <v>37</v>
      </c>
      <c r="AB633" s="6" t="s">
        <v>37</v>
      </c>
      <c r="AC633" s="6" t="s">
        <v>53</v>
      </c>
      <c r="AD633" s="26" t="s">
        <v>68</v>
      </c>
      <c r="AE633" s="7">
        <v>124</v>
      </c>
      <c r="AF633" s="6">
        <v>250</v>
      </c>
      <c r="AG633" s="34">
        <v>18</v>
      </c>
      <c r="AH633" s="31" t="s">
        <v>54</v>
      </c>
    </row>
    <row r="634" ht="13.9" spans="1:34">
      <c r="A634" s="6">
        <v>5454</v>
      </c>
      <c r="B634" s="7">
        <v>0.25</v>
      </c>
      <c r="C634" s="6">
        <v>0.4</v>
      </c>
      <c r="D634" s="6">
        <v>0.1</v>
      </c>
      <c r="E634" s="6">
        <v>0.75</v>
      </c>
      <c r="F634" s="6">
        <v>2.7</v>
      </c>
      <c r="G634" s="6">
        <v>0.125</v>
      </c>
      <c r="H634" s="6">
        <v>0.25</v>
      </c>
      <c r="I634" s="6">
        <v>0</v>
      </c>
      <c r="J634" s="6">
        <v>0.2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8">
        <f t="shared" si="21"/>
        <v>95.225</v>
      </c>
      <c r="U634" s="7">
        <v>345</v>
      </c>
      <c r="V634" s="6">
        <v>25</v>
      </c>
      <c r="W634" s="6">
        <v>0</v>
      </c>
      <c r="X634" s="6" t="s">
        <v>53</v>
      </c>
      <c r="Y634" s="6" t="s">
        <v>50</v>
      </c>
      <c r="Z634" s="6" t="s">
        <v>37</v>
      </c>
      <c r="AA634" s="6" t="s">
        <v>37</v>
      </c>
      <c r="AB634" s="6" t="s">
        <v>37</v>
      </c>
      <c r="AC634" s="6" t="s">
        <v>53</v>
      </c>
      <c r="AD634" s="26" t="s">
        <v>57</v>
      </c>
      <c r="AE634" s="7">
        <v>106</v>
      </c>
      <c r="AF634" s="6">
        <v>250</v>
      </c>
      <c r="AG634" s="34">
        <v>20.7</v>
      </c>
      <c r="AH634" s="31" t="s">
        <v>54</v>
      </c>
    </row>
    <row r="635" s="3" customFormat="1" ht="13.9" spans="1:34">
      <c r="A635" s="3">
        <v>5454</v>
      </c>
      <c r="B635" s="16">
        <v>0.25</v>
      </c>
      <c r="C635" s="3">
        <v>0.4</v>
      </c>
      <c r="D635" s="3">
        <v>0.1</v>
      </c>
      <c r="E635" s="3">
        <v>0.75</v>
      </c>
      <c r="F635" s="3">
        <v>2.7</v>
      </c>
      <c r="G635" s="3">
        <v>0.125</v>
      </c>
      <c r="H635" s="3">
        <v>0.25</v>
      </c>
      <c r="I635" s="3">
        <v>0</v>
      </c>
      <c r="J635" s="3">
        <v>0.2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22">
        <f t="shared" si="21"/>
        <v>95.225</v>
      </c>
      <c r="U635" s="16">
        <v>25</v>
      </c>
      <c r="V635" s="3">
        <v>25</v>
      </c>
      <c r="W635" s="3">
        <v>0</v>
      </c>
      <c r="X635" s="3" t="s">
        <v>42</v>
      </c>
      <c r="Y635" s="3" t="s">
        <v>35</v>
      </c>
      <c r="Z635" s="3" t="s">
        <v>67</v>
      </c>
      <c r="AA635" s="3" t="s">
        <v>37</v>
      </c>
      <c r="AB635" s="3" t="s">
        <v>37</v>
      </c>
      <c r="AC635" s="3" t="s">
        <v>59</v>
      </c>
      <c r="AD635" s="27" t="s">
        <v>68</v>
      </c>
      <c r="AE635" s="16">
        <v>105</v>
      </c>
      <c r="AF635" s="3">
        <v>218</v>
      </c>
      <c r="AG635" s="38">
        <v>10.5</v>
      </c>
      <c r="AH635" s="33" t="s">
        <v>54</v>
      </c>
    </row>
    <row r="636" ht="13.9" spans="1:34">
      <c r="A636" s="6">
        <v>5456</v>
      </c>
      <c r="B636" s="7">
        <v>0.25</v>
      </c>
      <c r="C636" s="6">
        <v>0.4</v>
      </c>
      <c r="D636" s="6">
        <v>0.1</v>
      </c>
      <c r="E636" s="6">
        <v>0.75</v>
      </c>
      <c r="F636" s="6">
        <v>5.1</v>
      </c>
      <c r="G636" s="6">
        <v>0.125</v>
      </c>
      <c r="H636" s="6">
        <v>0.25</v>
      </c>
      <c r="I636" s="6">
        <v>0</v>
      </c>
      <c r="J636" s="6">
        <v>0.2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8">
        <f t="shared" si="21"/>
        <v>92.825</v>
      </c>
      <c r="U636" s="7">
        <v>25</v>
      </c>
      <c r="V636" s="6">
        <v>25</v>
      </c>
      <c r="W636" s="6">
        <v>0</v>
      </c>
      <c r="X636" s="6" t="s">
        <v>42</v>
      </c>
      <c r="Y636" s="6" t="s">
        <v>35</v>
      </c>
      <c r="Z636" s="6" t="s">
        <v>46</v>
      </c>
      <c r="AA636" s="6" t="s">
        <v>37</v>
      </c>
      <c r="AB636" s="6" t="s">
        <v>149</v>
      </c>
      <c r="AC636" s="6" t="s">
        <v>43</v>
      </c>
      <c r="AD636" s="26" t="s">
        <v>152</v>
      </c>
      <c r="AE636" s="7">
        <v>317.5</v>
      </c>
      <c r="AF636" s="6">
        <v>400</v>
      </c>
      <c r="AG636" s="10">
        <v>7</v>
      </c>
      <c r="AH636" s="31" t="s">
        <v>54</v>
      </c>
    </row>
    <row r="637" ht="13.9" spans="1:34">
      <c r="A637" s="6">
        <v>5456</v>
      </c>
      <c r="B637" s="7">
        <v>0.25</v>
      </c>
      <c r="C637" s="6">
        <v>0.4</v>
      </c>
      <c r="D637" s="6">
        <v>0.1</v>
      </c>
      <c r="E637" s="6">
        <v>0.75</v>
      </c>
      <c r="F637" s="6">
        <v>5.1</v>
      </c>
      <c r="G637" s="6">
        <v>0.125</v>
      </c>
      <c r="H637" s="6">
        <v>0.25</v>
      </c>
      <c r="I637" s="6">
        <v>0</v>
      </c>
      <c r="J637" s="6">
        <v>0.2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8">
        <f t="shared" si="21"/>
        <v>92.825</v>
      </c>
      <c r="U637" s="7">
        <v>25</v>
      </c>
      <c r="V637" s="6">
        <v>25</v>
      </c>
      <c r="W637" s="6">
        <v>0</v>
      </c>
      <c r="X637" s="6" t="s">
        <v>42</v>
      </c>
      <c r="Y637" s="6" t="s">
        <v>35</v>
      </c>
      <c r="Z637" s="6" t="s">
        <v>65</v>
      </c>
      <c r="AA637" s="6" t="s">
        <v>37</v>
      </c>
      <c r="AB637" s="6" t="s">
        <v>149</v>
      </c>
      <c r="AC637" s="6" t="s">
        <v>43</v>
      </c>
      <c r="AD637" s="26" t="s">
        <v>153</v>
      </c>
      <c r="AE637" s="7">
        <v>277.5</v>
      </c>
      <c r="AF637" s="6">
        <v>368</v>
      </c>
      <c r="AG637" s="10">
        <v>9.5</v>
      </c>
      <c r="AH637" s="31" t="s">
        <v>54</v>
      </c>
    </row>
    <row r="638" ht="13.9" spans="1:34">
      <c r="A638" s="6">
        <v>5456</v>
      </c>
      <c r="B638" s="7">
        <v>0.25</v>
      </c>
      <c r="C638" s="6">
        <v>0.4</v>
      </c>
      <c r="D638" s="6">
        <v>0.1</v>
      </c>
      <c r="E638" s="6">
        <v>0.75</v>
      </c>
      <c r="F638" s="6">
        <v>5.1</v>
      </c>
      <c r="G638" s="6">
        <v>0.125</v>
      </c>
      <c r="H638" s="6">
        <v>0.25</v>
      </c>
      <c r="I638" s="6">
        <v>0</v>
      </c>
      <c r="J638" s="6">
        <v>0.2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8">
        <f t="shared" si="21"/>
        <v>92.825</v>
      </c>
      <c r="U638" s="7">
        <v>25</v>
      </c>
      <c r="V638" s="6">
        <v>25</v>
      </c>
      <c r="W638" s="6">
        <v>0</v>
      </c>
      <c r="X638" s="6" t="s">
        <v>42</v>
      </c>
      <c r="Y638" s="6" t="s">
        <v>35</v>
      </c>
      <c r="Z638" s="6" t="s">
        <v>65</v>
      </c>
      <c r="AA638" s="6" t="s">
        <v>37</v>
      </c>
      <c r="AB638" s="6" t="s">
        <v>149</v>
      </c>
      <c r="AC638" s="6" t="s">
        <v>69</v>
      </c>
      <c r="AD638" s="26" t="s">
        <v>153</v>
      </c>
      <c r="AE638" s="7">
        <v>255</v>
      </c>
      <c r="AF638" s="6">
        <v>352</v>
      </c>
      <c r="AG638" s="10">
        <v>16</v>
      </c>
      <c r="AH638" s="31" t="s">
        <v>54</v>
      </c>
    </row>
    <row r="639" ht="13.9" spans="1:34">
      <c r="A639" s="6">
        <v>5456</v>
      </c>
      <c r="B639" s="7">
        <v>0.25</v>
      </c>
      <c r="C639" s="6">
        <v>0.4</v>
      </c>
      <c r="D639" s="6">
        <v>0.1</v>
      </c>
      <c r="E639" s="6">
        <v>0.75</v>
      </c>
      <c r="F639" s="6">
        <v>5.1</v>
      </c>
      <c r="G639" s="6">
        <v>0.125</v>
      </c>
      <c r="H639" s="6">
        <v>0.25</v>
      </c>
      <c r="I639" s="6">
        <v>0</v>
      </c>
      <c r="J639" s="6">
        <v>0.2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8">
        <f t="shared" si="21"/>
        <v>92.825</v>
      </c>
      <c r="U639" s="7">
        <v>25</v>
      </c>
      <c r="V639" s="6">
        <v>25</v>
      </c>
      <c r="W639" s="6">
        <v>0</v>
      </c>
      <c r="X639" s="6" t="s">
        <v>42</v>
      </c>
      <c r="Y639" s="6" t="s">
        <v>35</v>
      </c>
      <c r="Z639" s="6" t="s">
        <v>65</v>
      </c>
      <c r="AA639" s="6" t="s">
        <v>37</v>
      </c>
      <c r="AB639" s="6" t="s">
        <v>149</v>
      </c>
      <c r="AC639" s="6" t="s">
        <v>59</v>
      </c>
      <c r="AD639" s="26" t="s">
        <v>153</v>
      </c>
      <c r="AE639" s="7">
        <v>260</v>
      </c>
      <c r="AF639" s="6">
        <v>347</v>
      </c>
      <c r="AG639" s="10">
        <v>10.7</v>
      </c>
      <c r="AH639" s="31" t="s">
        <v>54</v>
      </c>
    </row>
    <row r="640" ht="13.9" spans="1:34">
      <c r="A640" s="6">
        <v>5456</v>
      </c>
      <c r="B640" s="7">
        <v>0.25</v>
      </c>
      <c r="C640" s="6">
        <v>0.4</v>
      </c>
      <c r="D640" s="6">
        <v>0.1</v>
      </c>
      <c r="E640" s="6">
        <v>0.75</v>
      </c>
      <c r="F640" s="6">
        <v>5.1</v>
      </c>
      <c r="G640" s="6">
        <v>0.125</v>
      </c>
      <c r="H640" s="6">
        <v>0.25</v>
      </c>
      <c r="I640" s="6">
        <v>0</v>
      </c>
      <c r="J640" s="6">
        <v>0.2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8">
        <f t="shared" si="21"/>
        <v>92.825</v>
      </c>
      <c r="U640" s="7">
        <v>343</v>
      </c>
      <c r="V640" s="6">
        <v>25</v>
      </c>
      <c r="W640" s="6">
        <v>0</v>
      </c>
      <c r="X640" s="6" t="s">
        <v>42</v>
      </c>
      <c r="Y640" s="6" t="s">
        <v>50</v>
      </c>
      <c r="Z640" s="6" t="s">
        <v>37</v>
      </c>
      <c r="AA640" s="6" t="s">
        <v>37</v>
      </c>
      <c r="AB640" s="6" t="s">
        <v>37</v>
      </c>
      <c r="AC640" s="6" t="s">
        <v>43</v>
      </c>
      <c r="AD640" s="26" t="s">
        <v>57</v>
      </c>
      <c r="AE640" s="7">
        <v>167.5</v>
      </c>
      <c r="AF640" s="6">
        <v>327.5</v>
      </c>
      <c r="AG640" s="10">
        <v>16</v>
      </c>
      <c r="AH640" s="31" t="s">
        <v>54</v>
      </c>
    </row>
    <row r="641" ht="13.9" spans="1:34">
      <c r="A641" s="6">
        <v>5456</v>
      </c>
      <c r="B641" s="7">
        <v>0.25</v>
      </c>
      <c r="C641" s="6">
        <v>0.4</v>
      </c>
      <c r="D641" s="6">
        <v>0.1</v>
      </c>
      <c r="E641" s="6">
        <v>0.75</v>
      </c>
      <c r="F641" s="6">
        <v>5.1</v>
      </c>
      <c r="G641" s="6">
        <v>0.125</v>
      </c>
      <c r="H641" s="6">
        <v>0.25</v>
      </c>
      <c r="I641" s="6">
        <v>0</v>
      </c>
      <c r="J641" s="6">
        <v>0.2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8">
        <f t="shared" si="21"/>
        <v>92.825</v>
      </c>
      <c r="U641" s="7">
        <v>25</v>
      </c>
      <c r="V641" s="6">
        <v>25</v>
      </c>
      <c r="W641" s="6">
        <v>0</v>
      </c>
      <c r="X641" s="6" t="s">
        <v>42</v>
      </c>
      <c r="Y641" s="6" t="s">
        <v>35</v>
      </c>
      <c r="Z641" s="6" t="s">
        <v>48</v>
      </c>
      <c r="AA641" s="6" t="s">
        <v>37</v>
      </c>
      <c r="AB641" s="6" t="s">
        <v>37</v>
      </c>
      <c r="AC641" s="6" t="s">
        <v>69</v>
      </c>
      <c r="AD641" s="26" t="s">
        <v>49</v>
      </c>
      <c r="AE641" s="7">
        <v>228</v>
      </c>
      <c r="AF641" s="6">
        <v>324</v>
      </c>
      <c r="AG641" s="10">
        <v>18</v>
      </c>
      <c r="AH641" s="31" t="s">
        <v>54</v>
      </c>
    </row>
    <row r="642" ht="13.9" spans="1:34">
      <c r="A642" s="6">
        <v>5456</v>
      </c>
      <c r="B642" s="7">
        <v>0.25</v>
      </c>
      <c r="C642" s="6">
        <v>0.4</v>
      </c>
      <c r="D642" s="6">
        <v>0.1</v>
      </c>
      <c r="E642" s="6">
        <v>0.75</v>
      </c>
      <c r="F642" s="6">
        <v>5.1</v>
      </c>
      <c r="G642" s="6">
        <v>0.125</v>
      </c>
      <c r="H642" s="6">
        <v>0.25</v>
      </c>
      <c r="I642" s="6">
        <v>0</v>
      </c>
      <c r="J642" s="6">
        <v>0.2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8">
        <f t="shared" si="21"/>
        <v>92.825</v>
      </c>
      <c r="U642" s="7">
        <v>25</v>
      </c>
      <c r="V642" s="6">
        <v>25</v>
      </c>
      <c r="W642" s="6">
        <v>0</v>
      </c>
      <c r="X642" s="6" t="s">
        <v>42</v>
      </c>
      <c r="Y642" s="6" t="s">
        <v>35</v>
      </c>
      <c r="Z642" s="6" t="s">
        <v>48</v>
      </c>
      <c r="AA642" s="6" t="s">
        <v>37</v>
      </c>
      <c r="AB642" s="6" t="s">
        <v>37</v>
      </c>
      <c r="AC642" s="6" t="s">
        <v>43</v>
      </c>
      <c r="AD642" s="26" t="s">
        <v>159</v>
      </c>
      <c r="AE642" s="7">
        <v>230</v>
      </c>
      <c r="AF642" s="6">
        <v>315</v>
      </c>
      <c r="AG642" s="10">
        <v>10</v>
      </c>
      <c r="AH642" s="31" t="s">
        <v>54</v>
      </c>
    </row>
    <row r="643" ht="13.9" spans="1:34">
      <c r="A643" s="6">
        <v>5456</v>
      </c>
      <c r="B643" s="7">
        <v>0.25</v>
      </c>
      <c r="C643" s="6">
        <v>0.4</v>
      </c>
      <c r="D643" s="6">
        <v>0.1</v>
      </c>
      <c r="E643" s="6">
        <v>0.75</v>
      </c>
      <c r="F643" s="6">
        <v>5.1</v>
      </c>
      <c r="G643" s="6">
        <v>0.125</v>
      </c>
      <c r="H643" s="6">
        <v>0.25</v>
      </c>
      <c r="I643" s="6">
        <v>0</v>
      </c>
      <c r="J643" s="6">
        <v>0.2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8">
        <f t="shared" si="21"/>
        <v>92.825</v>
      </c>
      <c r="U643" s="7">
        <v>25</v>
      </c>
      <c r="V643" s="6">
        <v>25</v>
      </c>
      <c r="W643" s="6">
        <v>0</v>
      </c>
      <c r="X643" s="6" t="s">
        <v>42</v>
      </c>
      <c r="Y643" s="6" t="s">
        <v>35</v>
      </c>
      <c r="Z643" s="6" t="s">
        <v>67</v>
      </c>
      <c r="AA643" s="6" t="s">
        <v>37</v>
      </c>
      <c r="AB643" s="6" t="s">
        <v>37</v>
      </c>
      <c r="AC643" s="6" t="s">
        <v>69</v>
      </c>
      <c r="AD643" s="26" t="s">
        <v>68</v>
      </c>
      <c r="AE643" s="7">
        <v>165</v>
      </c>
      <c r="AF643" s="6">
        <v>310</v>
      </c>
      <c r="AG643" s="10">
        <v>22</v>
      </c>
      <c r="AH643" s="31" t="s">
        <v>54</v>
      </c>
    </row>
    <row r="644" ht="13.9" spans="1:34">
      <c r="A644" s="6">
        <v>5456</v>
      </c>
      <c r="B644" s="7">
        <v>0.25</v>
      </c>
      <c r="C644" s="6">
        <v>0.4</v>
      </c>
      <c r="D644" s="6">
        <v>0.1</v>
      </c>
      <c r="E644" s="6">
        <v>0.75</v>
      </c>
      <c r="F644" s="6">
        <v>5.1</v>
      </c>
      <c r="G644" s="6">
        <v>0.125</v>
      </c>
      <c r="H644" s="6">
        <v>0.25</v>
      </c>
      <c r="I644" s="6">
        <v>0</v>
      </c>
      <c r="J644" s="6">
        <v>0.2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8">
        <f t="shared" si="21"/>
        <v>92.825</v>
      </c>
      <c r="U644" s="7">
        <v>343</v>
      </c>
      <c r="V644" s="6">
        <v>25</v>
      </c>
      <c r="W644" s="6">
        <v>0</v>
      </c>
      <c r="X644" s="6" t="s">
        <v>42</v>
      </c>
      <c r="Y644" s="6" t="s">
        <v>50</v>
      </c>
      <c r="Z644" s="6" t="s">
        <v>37</v>
      </c>
      <c r="AA644" s="6" t="s">
        <v>37</v>
      </c>
      <c r="AB644" s="6" t="s">
        <v>37</v>
      </c>
      <c r="AC644" s="6" t="s">
        <v>69</v>
      </c>
      <c r="AD644" s="26" t="s">
        <v>57</v>
      </c>
      <c r="AE644" s="7">
        <v>159</v>
      </c>
      <c r="AF644" s="6">
        <v>310</v>
      </c>
      <c r="AG644" s="10">
        <v>24</v>
      </c>
      <c r="AH644" s="31" t="s">
        <v>54</v>
      </c>
    </row>
    <row r="645" ht="13.9" spans="1:34">
      <c r="A645" s="6">
        <v>5456</v>
      </c>
      <c r="B645" s="7">
        <v>0.25</v>
      </c>
      <c r="C645" s="6">
        <v>0.4</v>
      </c>
      <c r="D645" s="6">
        <v>0.1</v>
      </c>
      <c r="E645" s="6">
        <v>0.75</v>
      </c>
      <c r="F645" s="6">
        <v>5.1</v>
      </c>
      <c r="G645" s="6">
        <v>0.125</v>
      </c>
      <c r="H645" s="6">
        <v>0.25</v>
      </c>
      <c r="I645" s="6">
        <v>0</v>
      </c>
      <c r="J645" s="6">
        <v>0.2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8">
        <f t="shared" si="21"/>
        <v>92.825</v>
      </c>
      <c r="U645" s="7">
        <v>25</v>
      </c>
      <c r="V645" s="6">
        <v>25</v>
      </c>
      <c r="W645" s="6">
        <v>0</v>
      </c>
      <c r="X645" s="6" t="s">
        <v>42</v>
      </c>
      <c r="Y645" s="6" t="s">
        <v>35</v>
      </c>
      <c r="Z645" s="6" t="s">
        <v>48</v>
      </c>
      <c r="AA645" s="6" t="s">
        <v>37</v>
      </c>
      <c r="AB645" s="6" t="s">
        <v>37</v>
      </c>
      <c r="AC645" s="6" t="s">
        <v>59</v>
      </c>
      <c r="AD645" s="26" t="s">
        <v>159</v>
      </c>
      <c r="AE645" s="7">
        <v>204</v>
      </c>
      <c r="AF645" s="6">
        <v>295</v>
      </c>
      <c r="AG645" s="10">
        <v>10</v>
      </c>
      <c r="AH645" s="31" t="s">
        <v>54</v>
      </c>
    </row>
    <row r="646" ht="13.9" spans="1:34">
      <c r="A646" s="6">
        <v>5456</v>
      </c>
      <c r="B646" s="7">
        <v>0.25</v>
      </c>
      <c r="C646" s="6">
        <v>0.4</v>
      </c>
      <c r="D646" s="6">
        <v>0.1</v>
      </c>
      <c r="E646" s="6">
        <v>0.75</v>
      </c>
      <c r="F646" s="6">
        <v>5.1</v>
      </c>
      <c r="G646" s="6">
        <v>0.125</v>
      </c>
      <c r="H646" s="6">
        <v>0.25</v>
      </c>
      <c r="I646" s="6">
        <v>0</v>
      </c>
      <c r="J646" s="6">
        <v>0.2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8">
        <f t="shared" si="21"/>
        <v>92.825</v>
      </c>
      <c r="U646" s="7">
        <v>25</v>
      </c>
      <c r="V646" s="6">
        <v>25</v>
      </c>
      <c r="W646" s="6">
        <v>0</v>
      </c>
      <c r="X646" s="6" t="s">
        <v>42</v>
      </c>
      <c r="Y646" s="6" t="s">
        <v>35</v>
      </c>
      <c r="Z646" s="6" t="s">
        <v>67</v>
      </c>
      <c r="AA646" s="6" t="s">
        <v>37</v>
      </c>
      <c r="AB646" s="6" t="s">
        <v>37</v>
      </c>
      <c r="AC646" s="6" t="s">
        <v>59</v>
      </c>
      <c r="AD646" s="26" t="s">
        <v>68</v>
      </c>
      <c r="AE646" s="7">
        <v>128</v>
      </c>
      <c r="AF646" s="6">
        <v>288</v>
      </c>
      <c r="AG646" s="10">
        <v>10.5</v>
      </c>
      <c r="AH646" s="31" t="s">
        <v>54</v>
      </c>
    </row>
    <row r="647" s="3" customFormat="1" ht="13.9" spans="1:34">
      <c r="A647" s="3">
        <v>5456</v>
      </c>
      <c r="B647" s="16">
        <v>0.25</v>
      </c>
      <c r="C647" s="3">
        <v>0.4</v>
      </c>
      <c r="D647" s="3">
        <v>0.1</v>
      </c>
      <c r="E647" s="3">
        <v>0.75</v>
      </c>
      <c r="F647" s="3">
        <v>5.1</v>
      </c>
      <c r="G647" s="3">
        <v>0.125</v>
      </c>
      <c r="H647" s="3">
        <v>0.25</v>
      </c>
      <c r="I647" s="3">
        <v>0</v>
      </c>
      <c r="J647" s="3">
        <v>0.2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22">
        <f t="shared" si="21"/>
        <v>92.825</v>
      </c>
      <c r="U647" s="16">
        <v>343</v>
      </c>
      <c r="V647" s="3">
        <v>25</v>
      </c>
      <c r="W647" s="3">
        <v>0</v>
      </c>
      <c r="X647" s="3" t="s">
        <v>42</v>
      </c>
      <c r="Y647" s="3" t="s">
        <v>50</v>
      </c>
      <c r="Z647" s="3" t="s">
        <v>37</v>
      </c>
      <c r="AA647" s="3" t="s">
        <v>37</v>
      </c>
      <c r="AB647" s="3" t="s">
        <v>37</v>
      </c>
      <c r="AC647" s="3" t="s">
        <v>59</v>
      </c>
      <c r="AD647" s="27" t="s">
        <v>57</v>
      </c>
      <c r="AE647" s="16">
        <v>126</v>
      </c>
      <c r="AF647" s="3">
        <v>283</v>
      </c>
      <c r="AG647" s="32">
        <v>12.3</v>
      </c>
      <c r="AH647" s="33" t="s">
        <v>54</v>
      </c>
    </row>
    <row r="648" ht="13.9" spans="1:34">
      <c r="A648" s="6">
        <v>5457</v>
      </c>
      <c r="B648" s="7">
        <v>0.08</v>
      </c>
      <c r="C648" s="6">
        <v>0.1</v>
      </c>
      <c r="D648" s="6">
        <v>0.2</v>
      </c>
      <c r="E648" s="6">
        <v>0.3</v>
      </c>
      <c r="F648" s="6">
        <v>1</v>
      </c>
      <c r="G648" s="6">
        <v>0</v>
      </c>
      <c r="H648" s="6">
        <v>0.05</v>
      </c>
      <c r="I648" s="6">
        <v>0.05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8">
        <f t="shared" si="21"/>
        <v>98.22</v>
      </c>
      <c r="U648" s="7">
        <v>25</v>
      </c>
      <c r="V648" s="6">
        <v>25</v>
      </c>
      <c r="W648" s="6">
        <v>0</v>
      </c>
      <c r="X648" s="6" t="s">
        <v>42</v>
      </c>
      <c r="Y648" s="6" t="s">
        <v>35</v>
      </c>
      <c r="Z648" s="6" t="s">
        <v>36</v>
      </c>
      <c r="AA648" s="6" t="s">
        <v>37</v>
      </c>
      <c r="AB648" s="6" t="s">
        <v>61</v>
      </c>
      <c r="AC648" s="6" t="s">
        <v>43</v>
      </c>
      <c r="AD648" s="26" t="s">
        <v>162</v>
      </c>
      <c r="AE648" s="7">
        <v>185</v>
      </c>
      <c r="AF648" s="6">
        <v>205</v>
      </c>
      <c r="AG648" s="10">
        <v>6</v>
      </c>
      <c r="AH648" s="31" t="s">
        <v>54</v>
      </c>
    </row>
    <row r="649" ht="13.9" spans="1:34">
      <c r="A649" s="6">
        <v>5457</v>
      </c>
      <c r="B649" s="7">
        <v>0.08</v>
      </c>
      <c r="C649" s="6">
        <v>0.1</v>
      </c>
      <c r="D649" s="6">
        <v>0.2</v>
      </c>
      <c r="E649" s="6">
        <v>0.3</v>
      </c>
      <c r="F649" s="6">
        <v>1</v>
      </c>
      <c r="G649" s="6">
        <v>0</v>
      </c>
      <c r="H649" s="6">
        <v>0.05</v>
      </c>
      <c r="I649" s="6">
        <v>0.05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8">
        <f t="shared" si="21"/>
        <v>98.22</v>
      </c>
      <c r="U649" s="7">
        <v>25</v>
      </c>
      <c r="V649" s="6">
        <v>25</v>
      </c>
      <c r="W649" s="6">
        <v>0</v>
      </c>
      <c r="X649" s="6" t="s">
        <v>42</v>
      </c>
      <c r="Y649" s="6" t="s">
        <v>35</v>
      </c>
      <c r="Z649" s="6" t="s">
        <v>36</v>
      </c>
      <c r="AA649" s="6" t="s">
        <v>37</v>
      </c>
      <c r="AB649" s="6" t="s">
        <v>149</v>
      </c>
      <c r="AC649" s="6" t="s">
        <v>43</v>
      </c>
      <c r="AD649" s="26" t="s">
        <v>150</v>
      </c>
      <c r="AE649" s="7">
        <v>185</v>
      </c>
      <c r="AF649" s="6">
        <v>205</v>
      </c>
      <c r="AG649" s="10">
        <v>6</v>
      </c>
      <c r="AH649" s="31" t="s">
        <v>54</v>
      </c>
    </row>
    <row r="650" s="3" customFormat="1" ht="13.9" spans="1:34">
      <c r="A650" s="3">
        <v>5457</v>
      </c>
      <c r="B650" s="16">
        <v>0.08</v>
      </c>
      <c r="C650" s="3">
        <v>0.1</v>
      </c>
      <c r="D650" s="3">
        <v>0.2</v>
      </c>
      <c r="E650" s="3">
        <v>0.3</v>
      </c>
      <c r="F650" s="3">
        <v>1</v>
      </c>
      <c r="G650" s="3">
        <v>0</v>
      </c>
      <c r="H650" s="3">
        <v>0.05</v>
      </c>
      <c r="I650" s="3">
        <v>0.05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22">
        <f t="shared" si="21"/>
        <v>98.22</v>
      </c>
      <c r="U650" s="16">
        <v>343</v>
      </c>
      <c r="V650" s="3">
        <v>25</v>
      </c>
      <c r="W650" s="3">
        <v>0</v>
      </c>
      <c r="X650" s="3" t="s">
        <v>42</v>
      </c>
      <c r="Y650" s="3" t="s">
        <v>50</v>
      </c>
      <c r="Z650" s="3" t="s">
        <v>37</v>
      </c>
      <c r="AA650" s="3" t="s">
        <v>37</v>
      </c>
      <c r="AB650" s="3" t="s">
        <v>37</v>
      </c>
      <c r="AC650" s="3" t="s">
        <v>43</v>
      </c>
      <c r="AD650" s="27" t="s">
        <v>57</v>
      </c>
      <c r="AE650" s="16">
        <v>50</v>
      </c>
      <c r="AF650" s="3">
        <v>130</v>
      </c>
      <c r="AG650" s="32">
        <v>22</v>
      </c>
      <c r="AH650" s="33" t="s">
        <v>54</v>
      </c>
    </row>
    <row r="651" ht="13.9" spans="1:34">
      <c r="A651" s="6">
        <v>5652</v>
      </c>
      <c r="B651" s="7">
        <v>0.2</v>
      </c>
      <c r="C651" s="6">
        <v>0.2</v>
      </c>
      <c r="D651" s="6">
        <v>0.04</v>
      </c>
      <c r="E651" s="6">
        <v>0.01</v>
      </c>
      <c r="F651" s="6">
        <v>2.5</v>
      </c>
      <c r="G651" s="6">
        <v>0.25</v>
      </c>
      <c r="H651" s="6">
        <v>0.1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8">
        <f t="shared" si="21"/>
        <v>96.7</v>
      </c>
      <c r="U651" s="7">
        <v>25</v>
      </c>
      <c r="V651" s="6">
        <v>25</v>
      </c>
      <c r="W651" s="6">
        <v>0</v>
      </c>
      <c r="X651" s="6" t="s">
        <v>53</v>
      </c>
      <c r="Y651" s="6" t="s">
        <v>35</v>
      </c>
      <c r="Z651" s="6" t="s">
        <v>36</v>
      </c>
      <c r="AA651" s="6" t="s">
        <v>37</v>
      </c>
      <c r="AB651" s="6" t="s">
        <v>149</v>
      </c>
      <c r="AC651" s="6" t="s">
        <v>53</v>
      </c>
      <c r="AD651" s="26" t="s">
        <v>150</v>
      </c>
      <c r="AE651" s="7">
        <v>238</v>
      </c>
      <c r="AF651" s="6">
        <v>280</v>
      </c>
      <c r="AG651" s="34">
        <v>5</v>
      </c>
      <c r="AH651" s="31" t="s">
        <v>54</v>
      </c>
    </row>
    <row r="652" ht="13.9" spans="1:34">
      <c r="A652" s="6">
        <v>5652</v>
      </c>
      <c r="B652" s="7">
        <v>0.2</v>
      </c>
      <c r="C652" s="6">
        <v>0.2</v>
      </c>
      <c r="D652" s="6">
        <v>0.04</v>
      </c>
      <c r="E652" s="6">
        <v>0.01</v>
      </c>
      <c r="F652" s="6">
        <v>2.5</v>
      </c>
      <c r="G652" s="6">
        <v>0.25</v>
      </c>
      <c r="H652" s="6">
        <v>0.1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8">
        <f t="shared" si="21"/>
        <v>96.7</v>
      </c>
      <c r="U652" s="7">
        <v>25</v>
      </c>
      <c r="V652" s="6">
        <v>25</v>
      </c>
      <c r="W652" s="6">
        <v>0</v>
      </c>
      <c r="X652" s="6" t="s">
        <v>53</v>
      </c>
      <c r="Y652" s="6" t="s">
        <v>35</v>
      </c>
      <c r="Z652" s="6" t="s">
        <v>55</v>
      </c>
      <c r="AA652" s="6" t="s">
        <v>37</v>
      </c>
      <c r="AB652" s="6" t="s">
        <v>149</v>
      </c>
      <c r="AC652" s="6" t="s">
        <v>53</v>
      </c>
      <c r="AD652" s="26" t="s">
        <v>151</v>
      </c>
      <c r="AE652" s="7">
        <v>220</v>
      </c>
      <c r="AF652" s="6">
        <v>278</v>
      </c>
      <c r="AG652" s="34">
        <v>5.5</v>
      </c>
      <c r="AH652" s="31" t="s">
        <v>54</v>
      </c>
    </row>
    <row r="653" ht="13.9" spans="1:34">
      <c r="A653" s="6">
        <v>5652</v>
      </c>
      <c r="B653" s="7">
        <v>0.2</v>
      </c>
      <c r="C653" s="6">
        <v>0.2</v>
      </c>
      <c r="D653" s="6">
        <v>0.04</v>
      </c>
      <c r="E653" s="6">
        <v>0.01</v>
      </c>
      <c r="F653" s="6">
        <v>2.5</v>
      </c>
      <c r="G653" s="6">
        <v>0.25</v>
      </c>
      <c r="H653" s="6">
        <v>0.1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8">
        <f t="shared" si="21"/>
        <v>96.7</v>
      </c>
      <c r="U653" s="7">
        <v>25</v>
      </c>
      <c r="V653" s="6">
        <v>25</v>
      </c>
      <c r="W653" s="6">
        <v>0</v>
      </c>
      <c r="X653" s="6" t="s">
        <v>53</v>
      </c>
      <c r="Y653" s="6" t="s">
        <v>35</v>
      </c>
      <c r="Z653" s="6" t="s">
        <v>46</v>
      </c>
      <c r="AA653" s="6" t="s">
        <v>37</v>
      </c>
      <c r="AB653" s="6" t="s">
        <v>149</v>
      </c>
      <c r="AC653" s="6" t="s">
        <v>53</v>
      </c>
      <c r="AD653" s="26" t="s">
        <v>152</v>
      </c>
      <c r="AE653" s="7">
        <v>198</v>
      </c>
      <c r="AF653" s="6">
        <v>260</v>
      </c>
      <c r="AG653" s="34">
        <v>8.3</v>
      </c>
      <c r="AH653" s="31" t="s">
        <v>54</v>
      </c>
    </row>
    <row r="654" ht="13.9" spans="1:34">
      <c r="A654" s="6">
        <v>5652</v>
      </c>
      <c r="B654" s="7">
        <v>0.2</v>
      </c>
      <c r="C654" s="6">
        <v>0.2</v>
      </c>
      <c r="D654" s="6">
        <v>0.04</v>
      </c>
      <c r="E654" s="6">
        <v>0.01</v>
      </c>
      <c r="F654" s="6">
        <v>2.5</v>
      </c>
      <c r="G654" s="6">
        <v>0.25</v>
      </c>
      <c r="H654" s="6">
        <v>0.1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8">
        <f t="shared" si="21"/>
        <v>96.7</v>
      </c>
      <c r="U654" s="7">
        <v>25</v>
      </c>
      <c r="V654" s="6">
        <v>25</v>
      </c>
      <c r="W654" s="6">
        <v>0</v>
      </c>
      <c r="X654" s="6" t="s">
        <v>53</v>
      </c>
      <c r="Y654" s="6" t="s">
        <v>35</v>
      </c>
      <c r="Z654" s="6" t="s">
        <v>65</v>
      </c>
      <c r="AA654" s="6" t="s">
        <v>37</v>
      </c>
      <c r="AB654" s="6" t="s">
        <v>149</v>
      </c>
      <c r="AC654" s="6" t="s">
        <v>53</v>
      </c>
      <c r="AD654" s="26" t="s">
        <v>153</v>
      </c>
      <c r="AE654" s="7">
        <v>178</v>
      </c>
      <c r="AF654" s="6">
        <v>234</v>
      </c>
      <c r="AG654" s="34">
        <v>10</v>
      </c>
      <c r="AH654" s="31" t="s">
        <v>54</v>
      </c>
    </row>
    <row r="655" ht="13.9" spans="1:34">
      <c r="A655" s="6">
        <v>5652</v>
      </c>
      <c r="B655" s="7">
        <v>0.2</v>
      </c>
      <c r="C655" s="6">
        <v>0.2</v>
      </c>
      <c r="D655" s="6">
        <v>0.04</v>
      </c>
      <c r="E655" s="6">
        <v>0.01</v>
      </c>
      <c r="F655" s="6">
        <v>2.5</v>
      </c>
      <c r="G655" s="6">
        <v>0.25</v>
      </c>
      <c r="H655" s="6">
        <v>0.1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8">
        <f t="shared" si="21"/>
        <v>96.7</v>
      </c>
      <c r="U655" s="7">
        <v>345</v>
      </c>
      <c r="V655" s="6">
        <v>25</v>
      </c>
      <c r="W655" s="6">
        <v>0</v>
      </c>
      <c r="X655" s="6" t="s">
        <v>53</v>
      </c>
      <c r="Y655" s="6" t="s">
        <v>50</v>
      </c>
      <c r="Z655" s="6" t="s">
        <v>37</v>
      </c>
      <c r="AA655" s="6" t="s">
        <v>37</v>
      </c>
      <c r="AB655" s="6" t="s">
        <v>37</v>
      </c>
      <c r="AC655" s="6" t="s">
        <v>53</v>
      </c>
      <c r="AD655" s="26" t="s">
        <v>57</v>
      </c>
      <c r="AE655" s="7">
        <v>78</v>
      </c>
      <c r="AF655" s="6">
        <v>194</v>
      </c>
      <c r="AG655" s="34">
        <v>20.5</v>
      </c>
      <c r="AH655" s="31" t="s">
        <v>54</v>
      </c>
    </row>
    <row r="656" s="3" customFormat="1" ht="13.9" spans="1:34">
      <c r="A656" s="3">
        <v>5652</v>
      </c>
      <c r="B656" s="16">
        <v>0.2</v>
      </c>
      <c r="C656" s="3">
        <v>0.2</v>
      </c>
      <c r="D656" s="3">
        <v>0.04</v>
      </c>
      <c r="E656" s="3">
        <v>0.01</v>
      </c>
      <c r="F656" s="3">
        <v>2.5</v>
      </c>
      <c r="G656" s="3">
        <v>0.25</v>
      </c>
      <c r="H656" s="3">
        <v>0.1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22">
        <f t="shared" si="21"/>
        <v>96.7</v>
      </c>
      <c r="U656" s="16">
        <v>25</v>
      </c>
      <c r="V656" s="3">
        <v>25</v>
      </c>
      <c r="W656" s="3">
        <v>0</v>
      </c>
      <c r="X656" s="3" t="s">
        <v>42</v>
      </c>
      <c r="Y656" s="3" t="s">
        <v>35</v>
      </c>
      <c r="Z656" s="3" t="s">
        <v>67</v>
      </c>
      <c r="AA656" s="3" t="s">
        <v>37</v>
      </c>
      <c r="AB656" s="3" t="s">
        <v>37</v>
      </c>
      <c r="AC656" s="3" t="s">
        <v>59</v>
      </c>
      <c r="AD656" s="27" t="s">
        <v>68</v>
      </c>
      <c r="AE656" s="16">
        <v>88</v>
      </c>
      <c r="AF656" s="3">
        <v>183</v>
      </c>
      <c r="AG656" s="38">
        <v>10.5</v>
      </c>
      <c r="AH656" s="33" t="s">
        <v>54</v>
      </c>
    </row>
    <row r="657" ht="13.9" spans="1:34">
      <c r="A657" s="6">
        <v>5657</v>
      </c>
      <c r="B657" s="7">
        <v>0.08</v>
      </c>
      <c r="C657" s="6">
        <v>0.1</v>
      </c>
      <c r="D657" s="6">
        <v>0.1</v>
      </c>
      <c r="E657" s="6">
        <v>0.03</v>
      </c>
      <c r="F657" s="6">
        <v>0.8</v>
      </c>
      <c r="G657" s="6">
        <v>0</v>
      </c>
      <c r="H657" s="6">
        <v>0.05</v>
      </c>
      <c r="I657" s="6">
        <v>0.05</v>
      </c>
      <c r="J657" s="6">
        <v>0</v>
      </c>
      <c r="K657" s="6">
        <v>0</v>
      </c>
      <c r="L657" s="6">
        <v>0</v>
      </c>
      <c r="M657" s="6">
        <v>0</v>
      </c>
      <c r="N657" s="6">
        <v>0.03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8">
        <f t="shared" si="21"/>
        <v>98.76</v>
      </c>
      <c r="U657" s="7">
        <v>25</v>
      </c>
      <c r="V657" s="6">
        <v>25</v>
      </c>
      <c r="W657" s="6">
        <v>0</v>
      </c>
      <c r="X657" s="6" t="s">
        <v>53</v>
      </c>
      <c r="Y657" s="6" t="s">
        <v>35</v>
      </c>
      <c r="Z657" s="6" t="s">
        <v>36</v>
      </c>
      <c r="AA657" s="6" t="s">
        <v>37</v>
      </c>
      <c r="AB657" s="6" t="s">
        <v>149</v>
      </c>
      <c r="AC657" s="6" t="s">
        <v>53</v>
      </c>
      <c r="AD657" s="26" t="s">
        <v>162</v>
      </c>
      <c r="AE657" s="7">
        <v>165</v>
      </c>
      <c r="AF657" s="6">
        <v>195</v>
      </c>
      <c r="AG657" s="10">
        <v>7</v>
      </c>
      <c r="AH657" s="31" t="s">
        <v>54</v>
      </c>
    </row>
    <row r="658" ht="13.9" spans="1:34">
      <c r="A658" s="6">
        <v>5657</v>
      </c>
      <c r="B658" s="7">
        <v>0.08</v>
      </c>
      <c r="C658" s="6">
        <v>0.1</v>
      </c>
      <c r="D658" s="6">
        <v>0.1</v>
      </c>
      <c r="E658" s="6">
        <v>0.03</v>
      </c>
      <c r="F658" s="6">
        <v>0.8</v>
      </c>
      <c r="G658" s="6">
        <v>0</v>
      </c>
      <c r="H658" s="6">
        <v>0.05</v>
      </c>
      <c r="I658" s="6">
        <v>0.05</v>
      </c>
      <c r="J658" s="6">
        <v>0</v>
      </c>
      <c r="K658" s="6">
        <v>0</v>
      </c>
      <c r="L658" s="6">
        <v>0</v>
      </c>
      <c r="M658" s="6">
        <v>0</v>
      </c>
      <c r="N658" s="6">
        <v>0.03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8">
        <f t="shared" si="21"/>
        <v>98.76</v>
      </c>
      <c r="U658" s="7">
        <v>25</v>
      </c>
      <c r="V658" s="6">
        <v>25</v>
      </c>
      <c r="W658" s="6">
        <v>0</v>
      </c>
      <c r="X658" s="6" t="s">
        <v>53</v>
      </c>
      <c r="Y658" s="6" t="s">
        <v>35</v>
      </c>
      <c r="Z658" s="6" t="s">
        <v>36</v>
      </c>
      <c r="AA658" s="6" t="s">
        <v>37</v>
      </c>
      <c r="AB658" s="6" t="s">
        <v>61</v>
      </c>
      <c r="AC658" s="6" t="s">
        <v>53</v>
      </c>
      <c r="AD658" s="26" t="s">
        <v>150</v>
      </c>
      <c r="AE658" s="7">
        <v>165</v>
      </c>
      <c r="AF658" s="6">
        <v>183</v>
      </c>
      <c r="AG658" s="34">
        <v>6</v>
      </c>
      <c r="AH658" s="31" t="s">
        <v>54</v>
      </c>
    </row>
    <row r="659" ht="13.9" spans="1:34">
      <c r="A659" s="6">
        <v>5657</v>
      </c>
      <c r="B659" s="7">
        <v>0.08</v>
      </c>
      <c r="C659" s="6">
        <v>0.1</v>
      </c>
      <c r="D659" s="6">
        <v>0.1</v>
      </c>
      <c r="E659" s="6">
        <v>0.03</v>
      </c>
      <c r="F659" s="6">
        <v>0.8</v>
      </c>
      <c r="G659" s="6">
        <v>0</v>
      </c>
      <c r="H659" s="6">
        <v>0.05</v>
      </c>
      <c r="I659" s="6">
        <v>0.05</v>
      </c>
      <c r="J659" s="6">
        <v>0</v>
      </c>
      <c r="K659" s="6">
        <v>0</v>
      </c>
      <c r="L659" s="6">
        <v>0</v>
      </c>
      <c r="M659" s="6">
        <v>0</v>
      </c>
      <c r="N659" s="6">
        <v>0.03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8">
        <f t="shared" si="21"/>
        <v>98.76</v>
      </c>
      <c r="U659" s="7">
        <v>25</v>
      </c>
      <c r="V659" s="6">
        <v>25</v>
      </c>
      <c r="W659" s="6">
        <v>0</v>
      </c>
      <c r="X659" s="6" t="s">
        <v>53</v>
      </c>
      <c r="Y659" s="6" t="s">
        <v>35</v>
      </c>
      <c r="Z659" s="6" t="s">
        <v>46</v>
      </c>
      <c r="AA659" s="6" t="s">
        <v>37</v>
      </c>
      <c r="AB659" s="6" t="s">
        <v>61</v>
      </c>
      <c r="AC659" s="6" t="s">
        <v>53</v>
      </c>
      <c r="AD659" s="26" t="s">
        <v>62</v>
      </c>
      <c r="AE659" s="7" t="s">
        <v>40</v>
      </c>
      <c r="AF659" s="6">
        <v>152.5</v>
      </c>
      <c r="AG659" s="10">
        <v>13</v>
      </c>
      <c r="AH659" s="31" t="s">
        <v>54</v>
      </c>
    </row>
    <row r="660" s="3" customFormat="1" ht="13.9" spans="1:34">
      <c r="A660" s="3">
        <v>5657</v>
      </c>
      <c r="B660" s="16">
        <v>0.08</v>
      </c>
      <c r="C660" s="3">
        <v>0.1</v>
      </c>
      <c r="D660" s="3">
        <v>0.1</v>
      </c>
      <c r="E660" s="3">
        <v>0.03</v>
      </c>
      <c r="F660" s="3">
        <v>0.8</v>
      </c>
      <c r="G660" s="3">
        <v>0</v>
      </c>
      <c r="H660" s="3">
        <v>0.05</v>
      </c>
      <c r="I660" s="3">
        <v>0.05</v>
      </c>
      <c r="J660" s="3">
        <v>0</v>
      </c>
      <c r="K660" s="3">
        <v>0</v>
      </c>
      <c r="L660" s="3">
        <v>0</v>
      </c>
      <c r="M660" s="3">
        <v>0</v>
      </c>
      <c r="N660" s="3">
        <v>0.03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22">
        <f t="shared" si="21"/>
        <v>98.76</v>
      </c>
      <c r="U660" s="16">
        <v>25</v>
      </c>
      <c r="V660" s="3">
        <v>25</v>
      </c>
      <c r="W660" s="3">
        <v>0</v>
      </c>
      <c r="X660" s="3" t="s">
        <v>53</v>
      </c>
      <c r="Y660" s="3" t="s">
        <v>35</v>
      </c>
      <c r="Z660" s="3" t="s">
        <v>55</v>
      </c>
      <c r="AA660" s="3" t="s">
        <v>37</v>
      </c>
      <c r="AB660" s="3" t="s">
        <v>61</v>
      </c>
      <c r="AC660" s="3" t="s">
        <v>53</v>
      </c>
      <c r="AD660" s="27" t="s">
        <v>71</v>
      </c>
      <c r="AE660" s="16" t="s">
        <v>40</v>
      </c>
      <c r="AF660" s="3">
        <v>127.5</v>
      </c>
      <c r="AG660" s="38">
        <v>7</v>
      </c>
      <c r="AH660" s="33" t="s">
        <v>54</v>
      </c>
    </row>
    <row r="661" ht="13.9" spans="1:34">
      <c r="A661" s="6">
        <v>6005</v>
      </c>
      <c r="B661" s="7">
        <v>0.75</v>
      </c>
      <c r="C661" s="6">
        <v>0.35</v>
      </c>
      <c r="D661" s="6">
        <v>0.1</v>
      </c>
      <c r="E661" s="6">
        <v>0.1</v>
      </c>
      <c r="F661" s="6">
        <v>0.5</v>
      </c>
      <c r="G661" s="6">
        <v>0.1</v>
      </c>
      <c r="H661" s="6">
        <v>0.1</v>
      </c>
      <c r="I661" s="6">
        <v>0</v>
      </c>
      <c r="J661" s="6">
        <v>0.1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8">
        <f t="shared" si="21"/>
        <v>97.9</v>
      </c>
      <c r="U661" s="7">
        <v>25</v>
      </c>
      <c r="V661" s="6">
        <v>175</v>
      </c>
      <c r="W661" s="6">
        <v>8</v>
      </c>
      <c r="X661" s="6" t="s">
        <v>53</v>
      </c>
      <c r="Y661" s="6" t="s">
        <v>35</v>
      </c>
      <c r="Z661" s="6" t="s">
        <v>37</v>
      </c>
      <c r="AA661" s="6" t="s">
        <v>74</v>
      </c>
      <c r="AB661" s="6" t="s">
        <v>37</v>
      </c>
      <c r="AC661" s="6" t="s">
        <v>53</v>
      </c>
      <c r="AD661" s="26" t="s">
        <v>164</v>
      </c>
      <c r="AE661" s="7">
        <v>241</v>
      </c>
      <c r="AF661" s="6">
        <v>262</v>
      </c>
      <c r="AG661" s="10">
        <v>9</v>
      </c>
      <c r="AH661" s="31" t="s">
        <v>54</v>
      </c>
    </row>
    <row r="662" s="3" customFormat="1" ht="13.9" spans="1:34">
      <c r="A662" s="3">
        <v>6005</v>
      </c>
      <c r="B662" s="16">
        <v>0.75</v>
      </c>
      <c r="C662" s="3">
        <v>0.35</v>
      </c>
      <c r="D662" s="3">
        <v>0.1</v>
      </c>
      <c r="E662" s="3">
        <v>0.1</v>
      </c>
      <c r="F662" s="3">
        <v>0.5</v>
      </c>
      <c r="G662" s="3">
        <v>0.1</v>
      </c>
      <c r="H662" s="3">
        <v>0.1</v>
      </c>
      <c r="I662" s="3">
        <v>0</v>
      </c>
      <c r="J662" s="3">
        <v>0.1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22">
        <f t="shared" si="21"/>
        <v>97.9</v>
      </c>
      <c r="U662" s="16">
        <v>25</v>
      </c>
      <c r="V662" s="3">
        <v>25</v>
      </c>
      <c r="W662" s="3">
        <v>0</v>
      </c>
      <c r="X662" s="3" t="s">
        <v>53</v>
      </c>
      <c r="Y662" s="3" t="s">
        <v>35</v>
      </c>
      <c r="Z662" s="3" t="s">
        <v>37</v>
      </c>
      <c r="AA662" s="3" t="s">
        <v>80</v>
      </c>
      <c r="AB662" s="3" t="s">
        <v>37</v>
      </c>
      <c r="AC662" s="3" t="s">
        <v>53</v>
      </c>
      <c r="AD662" s="27" t="s">
        <v>75</v>
      </c>
      <c r="AE662" s="16">
        <v>103</v>
      </c>
      <c r="AF662" s="3">
        <v>172</v>
      </c>
      <c r="AG662" s="32">
        <v>16</v>
      </c>
      <c r="AH662" s="33" t="s">
        <v>54</v>
      </c>
    </row>
    <row r="663" ht="13.9" spans="1:34">
      <c r="A663" s="6">
        <v>6009</v>
      </c>
      <c r="B663" s="7">
        <v>0.8</v>
      </c>
      <c r="C663" s="6">
        <v>0.5</v>
      </c>
      <c r="D663" s="6">
        <v>0.375</v>
      </c>
      <c r="E663" s="6">
        <v>0.5</v>
      </c>
      <c r="F663" s="6">
        <v>0.6</v>
      </c>
      <c r="G663" s="6">
        <v>0.1</v>
      </c>
      <c r="H663" s="6">
        <v>0.25</v>
      </c>
      <c r="I663" s="6">
        <v>0</v>
      </c>
      <c r="J663" s="6">
        <v>0.1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8">
        <f t="shared" si="21"/>
        <v>96.775</v>
      </c>
      <c r="U663" s="7">
        <v>555</v>
      </c>
      <c r="V663" s="6">
        <v>175</v>
      </c>
      <c r="W663" s="6">
        <v>8</v>
      </c>
      <c r="X663" s="6" t="s">
        <v>42</v>
      </c>
      <c r="Y663" s="6" t="s">
        <v>73</v>
      </c>
      <c r="Z663" s="6" t="s">
        <v>37</v>
      </c>
      <c r="AA663" s="6" t="s">
        <v>74</v>
      </c>
      <c r="AB663" s="6" t="s">
        <v>37</v>
      </c>
      <c r="AC663" s="6" t="s">
        <v>43</v>
      </c>
      <c r="AD663" s="26" t="s">
        <v>77</v>
      </c>
      <c r="AE663" s="7">
        <v>310</v>
      </c>
      <c r="AF663" s="6">
        <v>341.5</v>
      </c>
      <c r="AG663" s="10">
        <v>12.5</v>
      </c>
      <c r="AH663" s="31" t="s">
        <v>54</v>
      </c>
    </row>
    <row r="664" s="3" customFormat="1" ht="13.9" spans="1:34">
      <c r="A664" s="3">
        <v>6009</v>
      </c>
      <c r="B664" s="16">
        <v>0.8</v>
      </c>
      <c r="C664" s="3">
        <v>0.5</v>
      </c>
      <c r="D664" s="3">
        <v>0.375</v>
      </c>
      <c r="E664" s="3">
        <v>0.5</v>
      </c>
      <c r="F664" s="3">
        <v>0.6</v>
      </c>
      <c r="G664" s="3">
        <v>0.1</v>
      </c>
      <c r="H664" s="3">
        <v>0.25</v>
      </c>
      <c r="I664" s="3">
        <v>0</v>
      </c>
      <c r="J664" s="3">
        <v>0.1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22">
        <f t="shared" si="21"/>
        <v>96.775</v>
      </c>
      <c r="U664" s="16">
        <v>555</v>
      </c>
      <c r="V664" s="3">
        <v>25</v>
      </c>
      <c r="W664" s="3">
        <v>0</v>
      </c>
      <c r="X664" s="3" t="s">
        <v>42</v>
      </c>
      <c r="Y664" s="3" t="s">
        <v>73</v>
      </c>
      <c r="Z664" s="3" t="s">
        <v>37</v>
      </c>
      <c r="AA664" s="3" t="s">
        <v>80</v>
      </c>
      <c r="AB664" s="3" t="s">
        <v>37</v>
      </c>
      <c r="AC664" s="3" t="s">
        <v>43</v>
      </c>
      <c r="AD664" s="27" t="s">
        <v>86</v>
      </c>
      <c r="AE664" s="16">
        <v>127.5</v>
      </c>
      <c r="AF664" s="3">
        <v>231</v>
      </c>
      <c r="AG664" s="32">
        <v>24.5</v>
      </c>
      <c r="AH664" s="33" t="s">
        <v>54</v>
      </c>
    </row>
    <row r="665" ht="13.9" spans="1:34">
      <c r="A665" s="6">
        <v>6010</v>
      </c>
      <c r="B665" s="7">
        <v>1</v>
      </c>
      <c r="C665" s="6">
        <v>0.5</v>
      </c>
      <c r="D665" s="6">
        <v>0.375</v>
      </c>
      <c r="E665" s="6">
        <v>0.5</v>
      </c>
      <c r="F665" s="6">
        <v>0.8</v>
      </c>
      <c r="G665" s="6">
        <v>0.1</v>
      </c>
      <c r="H665" s="6">
        <v>0.25</v>
      </c>
      <c r="I665" s="6">
        <v>0</v>
      </c>
      <c r="J665" s="6">
        <v>0.1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8">
        <f t="shared" si="21"/>
        <v>96.375</v>
      </c>
      <c r="U665" s="7">
        <v>565</v>
      </c>
      <c r="V665" s="6">
        <v>175</v>
      </c>
      <c r="W665" s="6">
        <v>8</v>
      </c>
      <c r="X665" s="6" t="s">
        <v>42</v>
      </c>
      <c r="Y665" s="6" t="s">
        <v>73</v>
      </c>
      <c r="Z665" s="6" t="s">
        <v>37</v>
      </c>
      <c r="AA665" s="6" t="s">
        <v>74</v>
      </c>
      <c r="AB665" s="6" t="s">
        <v>37</v>
      </c>
      <c r="AC665" s="6" t="s">
        <v>43</v>
      </c>
      <c r="AD665" s="26" t="s">
        <v>77</v>
      </c>
      <c r="AE665" s="7">
        <v>362</v>
      </c>
      <c r="AF665" s="6">
        <v>382.5</v>
      </c>
      <c r="AG665" s="10">
        <v>11.5</v>
      </c>
      <c r="AH665" s="31" t="s">
        <v>54</v>
      </c>
    </row>
    <row r="666" ht="13.9" spans="1:34">
      <c r="A666" s="6">
        <v>6010</v>
      </c>
      <c r="B666" s="7">
        <v>1</v>
      </c>
      <c r="C666" s="6">
        <v>0.5</v>
      </c>
      <c r="D666" s="6">
        <v>0.375</v>
      </c>
      <c r="E666" s="6">
        <v>0.5</v>
      </c>
      <c r="F666" s="6">
        <v>0.8</v>
      </c>
      <c r="G666" s="6">
        <v>0.1</v>
      </c>
      <c r="H666" s="6">
        <v>0.25</v>
      </c>
      <c r="I666" s="6">
        <v>0</v>
      </c>
      <c r="J666" s="6">
        <v>0.1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8">
        <f t="shared" si="21"/>
        <v>96.375</v>
      </c>
      <c r="U666" s="7">
        <v>565</v>
      </c>
      <c r="V666" s="6">
        <v>25</v>
      </c>
      <c r="W666" s="6">
        <v>0</v>
      </c>
      <c r="X666" s="6" t="s">
        <v>42</v>
      </c>
      <c r="Y666" s="6" t="s">
        <v>73</v>
      </c>
      <c r="Z666" s="6" t="s">
        <v>37</v>
      </c>
      <c r="AA666" s="6" t="s">
        <v>80</v>
      </c>
      <c r="AB666" s="6" t="s">
        <v>37</v>
      </c>
      <c r="AC666" s="6" t="s">
        <v>43</v>
      </c>
      <c r="AD666" s="26" t="s">
        <v>86</v>
      </c>
      <c r="AE666" s="7">
        <v>179</v>
      </c>
      <c r="AF666" s="6">
        <v>293</v>
      </c>
      <c r="AG666" s="34">
        <v>22.5</v>
      </c>
      <c r="AH666" s="31" t="s">
        <v>54</v>
      </c>
    </row>
    <row r="667" s="3" customFormat="1" ht="13.9" spans="1:34">
      <c r="A667" s="3">
        <v>6010</v>
      </c>
      <c r="B667" s="16">
        <v>1</v>
      </c>
      <c r="C667" s="3">
        <v>0.5</v>
      </c>
      <c r="D667" s="3">
        <v>0.375</v>
      </c>
      <c r="E667" s="3">
        <v>0.5</v>
      </c>
      <c r="F667" s="3">
        <v>0.8</v>
      </c>
      <c r="G667" s="3">
        <v>0.1</v>
      </c>
      <c r="H667" s="3">
        <v>0.25</v>
      </c>
      <c r="I667" s="3">
        <v>0</v>
      </c>
      <c r="J667" s="3">
        <v>0.1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22">
        <f t="shared" si="21"/>
        <v>96.375</v>
      </c>
      <c r="U667" s="16">
        <v>565</v>
      </c>
      <c r="V667" s="3">
        <v>25</v>
      </c>
      <c r="W667" s="3">
        <v>0</v>
      </c>
      <c r="X667" s="3" t="s">
        <v>53</v>
      </c>
      <c r="Y667" s="3" t="s">
        <v>73</v>
      </c>
      <c r="Z667" s="3" t="s">
        <v>37</v>
      </c>
      <c r="AA667" s="3" t="s">
        <v>80</v>
      </c>
      <c r="AB667" s="3" t="s">
        <v>37</v>
      </c>
      <c r="AC667" s="3" t="s">
        <v>53</v>
      </c>
      <c r="AD667" s="27" t="s">
        <v>86</v>
      </c>
      <c r="AE667" s="16">
        <v>172</v>
      </c>
      <c r="AF667" s="3">
        <v>290</v>
      </c>
      <c r="AG667" s="38">
        <v>24</v>
      </c>
      <c r="AH667" s="33" t="s">
        <v>54</v>
      </c>
    </row>
    <row r="668" ht="13.9" spans="1:34">
      <c r="A668" s="6">
        <v>6061</v>
      </c>
      <c r="B668" s="7">
        <v>4.41</v>
      </c>
      <c r="C668" s="6">
        <v>0.63</v>
      </c>
      <c r="D668" s="6">
        <v>0.14</v>
      </c>
      <c r="E668" s="6">
        <v>2.06</v>
      </c>
      <c r="F668" s="6">
        <v>2.52</v>
      </c>
      <c r="G668" s="6">
        <v>0.22</v>
      </c>
      <c r="H668" s="6">
        <v>0.65</v>
      </c>
      <c r="I668" s="6">
        <v>0</v>
      </c>
      <c r="J668" s="6">
        <v>0.01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8">
        <f t="shared" si="21"/>
        <v>89.36</v>
      </c>
      <c r="U668" s="7">
        <v>500</v>
      </c>
      <c r="V668" s="6">
        <v>25</v>
      </c>
      <c r="W668" s="6">
        <v>0</v>
      </c>
      <c r="X668" s="6" t="s">
        <v>44</v>
      </c>
      <c r="Y668" s="6" t="s">
        <v>73</v>
      </c>
      <c r="Z668" s="6" t="s">
        <v>37</v>
      </c>
      <c r="AA668" s="6" t="s">
        <v>80</v>
      </c>
      <c r="AB668" s="6" t="s">
        <v>37</v>
      </c>
      <c r="AC668" s="6" t="s">
        <v>51</v>
      </c>
      <c r="AD668" s="26" t="s">
        <v>86</v>
      </c>
      <c r="AE668" s="7">
        <v>71</v>
      </c>
      <c r="AF668" s="6">
        <v>110</v>
      </c>
      <c r="AG668" s="10">
        <v>4</v>
      </c>
      <c r="AH668" s="48" t="s">
        <v>165</v>
      </c>
    </row>
    <row r="669" ht="13.9" spans="1:34">
      <c r="A669" s="6">
        <v>6061</v>
      </c>
      <c r="B669" s="7">
        <v>4.41</v>
      </c>
      <c r="C669" s="6">
        <v>0.63</v>
      </c>
      <c r="D669" s="6">
        <v>0.14</v>
      </c>
      <c r="E669" s="6">
        <v>2.06</v>
      </c>
      <c r="F669" s="6">
        <v>2.52</v>
      </c>
      <c r="G669" s="6">
        <v>0.22</v>
      </c>
      <c r="H669" s="6">
        <v>0.65</v>
      </c>
      <c r="I669" s="6">
        <v>0</v>
      </c>
      <c r="J669" s="6">
        <v>0.01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8">
        <v>89.36</v>
      </c>
      <c r="U669" s="7">
        <v>500</v>
      </c>
      <c r="V669" s="6">
        <v>25</v>
      </c>
      <c r="W669" s="6">
        <v>0</v>
      </c>
      <c r="X669" s="6" t="s">
        <v>44</v>
      </c>
      <c r="Y669" s="6" t="s">
        <v>73</v>
      </c>
      <c r="Z669" s="6" t="s">
        <v>37</v>
      </c>
      <c r="AA669" s="6" t="s">
        <v>80</v>
      </c>
      <c r="AB669" s="6" t="s">
        <v>37</v>
      </c>
      <c r="AC669" s="6" t="s">
        <v>69</v>
      </c>
      <c r="AD669" s="26" t="s">
        <v>86</v>
      </c>
      <c r="AE669" s="7">
        <v>71</v>
      </c>
      <c r="AF669" s="6">
        <v>110</v>
      </c>
      <c r="AG669" s="10">
        <v>4</v>
      </c>
      <c r="AH669" s="48" t="s">
        <v>165</v>
      </c>
    </row>
    <row r="670" ht="13.9" spans="1:34">
      <c r="A670" s="6">
        <v>6061</v>
      </c>
      <c r="B670" s="7">
        <v>4.41</v>
      </c>
      <c r="C670" s="6">
        <v>0.63</v>
      </c>
      <c r="D670" s="6">
        <v>0.14</v>
      </c>
      <c r="E670" s="6">
        <v>2.06</v>
      </c>
      <c r="F670" s="6">
        <v>2.52</v>
      </c>
      <c r="G670" s="6">
        <v>0.22</v>
      </c>
      <c r="H670" s="6">
        <v>0.65</v>
      </c>
      <c r="I670" s="6">
        <v>0</v>
      </c>
      <c r="J670" s="6">
        <v>0.01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8">
        <v>89.36</v>
      </c>
      <c r="U670" s="7">
        <v>500</v>
      </c>
      <c r="V670" s="6">
        <v>25</v>
      </c>
      <c r="W670" s="6">
        <v>0</v>
      </c>
      <c r="X670" s="6" t="s">
        <v>44</v>
      </c>
      <c r="Y670" s="6" t="s">
        <v>73</v>
      </c>
      <c r="Z670" s="6" t="s">
        <v>37</v>
      </c>
      <c r="AA670" s="6" t="s">
        <v>80</v>
      </c>
      <c r="AB670" s="6" t="s">
        <v>37</v>
      </c>
      <c r="AC670" s="6" t="s">
        <v>45</v>
      </c>
      <c r="AD670" s="26" t="s">
        <v>86</v>
      </c>
      <c r="AE670" s="7">
        <v>71</v>
      </c>
      <c r="AF670" s="6">
        <v>110</v>
      </c>
      <c r="AG670" s="10">
        <v>4</v>
      </c>
      <c r="AH670" s="48" t="s">
        <v>165</v>
      </c>
    </row>
    <row r="671" ht="13.9" spans="1:34">
      <c r="A671" s="6">
        <v>6061</v>
      </c>
      <c r="B671" s="7">
        <v>4.41</v>
      </c>
      <c r="C671" s="6">
        <v>0.63</v>
      </c>
      <c r="D671" s="6">
        <v>0.14</v>
      </c>
      <c r="E671" s="6">
        <v>2.06</v>
      </c>
      <c r="F671" s="6">
        <v>2.52</v>
      </c>
      <c r="G671" s="6">
        <v>0.22</v>
      </c>
      <c r="H671" s="6">
        <v>0.65</v>
      </c>
      <c r="I671" s="6">
        <v>0</v>
      </c>
      <c r="J671" s="6">
        <v>0.01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8">
        <f>100-SUM(B671:S671)</f>
        <v>89.36</v>
      </c>
      <c r="U671" s="7">
        <v>450</v>
      </c>
      <c r="V671" s="6">
        <v>25</v>
      </c>
      <c r="W671" s="6">
        <v>0</v>
      </c>
      <c r="X671" s="6" t="s">
        <v>44</v>
      </c>
      <c r="Y671" s="6" t="s">
        <v>73</v>
      </c>
      <c r="Z671" s="6" t="s">
        <v>37</v>
      </c>
      <c r="AA671" s="6" t="s">
        <v>80</v>
      </c>
      <c r="AB671" s="6" t="s">
        <v>37</v>
      </c>
      <c r="AC671" s="6" t="s">
        <v>51</v>
      </c>
      <c r="AD671" s="26" t="s">
        <v>86</v>
      </c>
      <c r="AE671" s="7">
        <v>68</v>
      </c>
      <c r="AF671" s="6">
        <v>88</v>
      </c>
      <c r="AG671" s="10">
        <v>6</v>
      </c>
      <c r="AH671" s="48" t="s">
        <v>165</v>
      </c>
    </row>
    <row r="672" ht="13.9" spans="1:34">
      <c r="A672" s="6">
        <v>6061</v>
      </c>
      <c r="B672" s="7">
        <v>4.41</v>
      </c>
      <c r="C672" s="6">
        <v>0.63</v>
      </c>
      <c r="D672" s="6">
        <v>0.14</v>
      </c>
      <c r="E672" s="6">
        <v>2.06</v>
      </c>
      <c r="F672" s="6">
        <v>2.52</v>
      </c>
      <c r="G672" s="6">
        <v>0.22</v>
      </c>
      <c r="H672" s="6">
        <v>0.65</v>
      </c>
      <c r="I672" s="6">
        <v>0</v>
      </c>
      <c r="J672" s="6">
        <v>0.01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8">
        <v>89.36</v>
      </c>
      <c r="U672" s="7">
        <v>450</v>
      </c>
      <c r="V672" s="6">
        <v>25</v>
      </c>
      <c r="W672" s="6">
        <v>0</v>
      </c>
      <c r="X672" s="6" t="s">
        <v>44</v>
      </c>
      <c r="Y672" s="6" t="s">
        <v>73</v>
      </c>
      <c r="Z672" s="6" t="s">
        <v>37</v>
      </c>
      <c r="AA672" s="6" t="s">
        <v>80</v>
      </c>
      <c r="AB672" s="6" t="s">
        <v>37</v>
      </c>
      <c r="AC672" s="6" t="s">
        <v>69</v>
      </c>
      <c r="AD672" s="26" t="s">
        <v>86</v>
      </c>
      <c r="AE672" s="7">
        <v>68</v>
      </c>
      <c r="AF672" s="6">
        <v>88</v>
      </c>
      <c r="AG672" s="10">
        <v>6</v>
      </c>
      <c r="AH672" s="48" t="s">
        <v>165</v>
      </c>
    </row>
    <row r="673" ht="13.9" spans="1:34">
      <c r="A673" s="6">
        <v>6061</v>
      </c>
      <c r="B673" s="7">
        <v>4.41</v>
      </c>
      <c r="C673" s="6">
        <v>0.63</v>
      </c>
      <c r="D673" s="6">
        <v>0.14</v>
      </c>
      <c r="E673" s="6">
        <v>2.06</v>
      </c>
      <c r="F673" s="6">
        <v>2.52</v>
      </c>
      <c r="G673" s="6">
        <v>0.22</v>
      </c>
      <c r="H673" s="6">
        <v>0.65</v>
      </c>
      <c r="I673" s="6">
        <v>0</v>
      </c>
      <c r="J673" s="6">
        <v>0.01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8">
        <v>89.36</v>
      </c>
      <c r="U673" s="7">
        <v>450</v>
      </c>
      <c r="V673" s="6">
        <v>25</v>
      </c>
      <c r="W673" s="6">
        <v>0</v>
      </c>
      <c r="X673" s="6" t="s">
        <v>44</v>
      </c>
      <c r="Y673" s="6" t="s">
        <v>73</v>
      </c>
      <c r="Z673" s="6" t="s">
        <v>37</v>
      </c>
      <c r="AA673" s="6" t="s">
        <v>80</v>
      </c>
      <c r="AB673" s="6" t="s">
        <v>37</v>
      </c>
      <c r="AC673" s="6" t="s">
        <v>45</v>
      </c>
      <c r="AD673" s="26" t="s">
        <v>86</v>
      </c>
      <c r="AE673" s="7">
        <v>68</v>
      </c>
      <c r="AF673" s="6">
        <v>88</v>
      </c>
      <c r="AG673" s="10">
        <v>6</v>
      </c>
      <c r="AH673" s="48" t="s">
        <v>165</v>
      </c>
    </row>
    <row r="674" ht="13.9" spans="1:34">
      <c r="A674" s="6">
        <v>6061</v>
      </c>
      <c r="B674" s="7">
        <v>4.41</v>
      </c>
      <c r="C674" s="6">
        <v>0.63</v>
      </c>
      <c r="D674" s="6">
        <v>0.14</v>
      </c>
      <c r="E674" s="6">
        <v>2.06</v>
      </c>
      <c r="F674" s="6">
        <v>2.52</v>
      </c>
      <c r="G674" s="6">
        <v>0.22</v>
      </c>
      <c r="H674" s="6">
        <v>0.65</v>
      </c>
      <c r="I674" s="6">
        <v>0</v>
      </c>
      <c r="J674" s="6">
        <v>0.01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8">
        <f>100-SUM(B674:S674)</f>
        <v>89.36</v>
      </c>
      <c r="U674" s="7">
        <v>400</v>
      </c>
      <c r="V674" s="6">
        <v>25</v>
      </c>
      <c r="W674" s="6">
        <v>0</v>
      </c>
      <c r="X674" s="6" t="s">
        <v>44</v>
      </c>
      <c r="Y674" s="6" t="s">
        <v>73</v>
      </c>
      <c r="Z674" s="6" t="s">
        <v>37</v>
      </c>
      <c r="AA674" s="6" t="s">
        <v>80</v>
      </c>
      <c r="AB674" s="6" t="s">
        <v>37</v>
      </c>
      <c r="AC674" s="6" t="s">
        <v>51</v>
      </c>
      <c r="AD674" s="26" t="s">
        <v>86</v>
      </c>
      <c r="AE674" s="7">
        <v>63</v>
      </c>
      <c r="AF674" s="6">
        <v>86</v>
      </c>
      <c r="AG674" s="10">
        <v>7</v>
      </c>
      <c r="AH674" s="48" t="s">
        <v>165</v>
      </c>
    </row>
    <row r="675" ht="13.9" spans="1:34">
      <c r="A675" s="6">
        <v>6061</v>
      </c>
      <c r="B675" s="7">
        <v>4.41</v>
      </c>
      <c r="C675" s="6">
        <v>0.63</v>
      </c>
      <c r="D675" s="6">
        <v>0.14</v>
      </c>
      <c r="E675" s="6">
        <v>2.06</v>
      </c>
      <c r="F675" s="6">
        <v>2.52</v>
      </c>
      <c r="G675" s="6">
        <v>0.22</v>
      </c>
      <c r="H675" s="6">
        <v>0.65</v>
      </c>
      <c r="I675" s="6">
        <v>0</v>
      </c>
      <c r="J675" s="6">
        <v>0.01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8">
        <v>89.36</v>
      </c>
      <c r="U675" s="7">
        <v>400</v>
      </c>
      <c r="V675" s="6">
        <v>25</v>
      </c>
      <c r="W675" s="6">
        <v>0</v>
      </c>
      <c r="X675" s="6" t="s">
        <v>44</v>
      </c>
      <c r="Y675" s="6" t="s">
        <v>73</v>
      </c>
      <c r="Z675" s="6" t="s">
        <v>37</v>
      </c>
      <c r="AA675" s="6" t="s">
        <v>80</v>
      </c>
      <c r="AB675" s="6" t="s">
        <v>37</v>
      </c>
      <c r="AC675" s="6" t="s">
        <v>69</v>
      </c>
      <c r="AD675" s="26" t="s">
        <v>86</v>
      </c>
      <c r="AE675" s="7">
        <v>63</v>
      </c>
      <c r="AF675" s="6">
        <v>86</v>
      </c>
      <c r="AG675" s="10">
        <v>7</v>
      </c>
      <c r="AH675" s="48" t="s">
        <v>165</v>
      </c>
    </row>
    <row r="676" ht="13.9" spans="1:34">
      <c r="A676" s="6">
        <v>6061</v>
      </c>
      <c r="B676" s="7">
        <v>4.41</v>
      </c>
      <c r="C676" s="6">
        <v>0.63</v>
      </c>
      <c r="D676" s="6">
        <v>0.14</v>
      </c>
      <c r="E676" s="6">
        <v>2.06</v>
      </c>
      <c r="F676" s="6">
        <v>2.52</v>
      </c>
      <c r="G676" s="6">
        <v>0.22</v>
      </c>
      <c r="H676" s="6">
        <v>0.65</v>
      </c>
      <c r="I676" s="6">
        <v>0</v>
      </c>
      <c r="J676" s="6">
        <v>0.01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8">
        <v>89.36</v>
      </c>
      <c r="U676" s="7">
        <v>400</v>
      </c>
      <c r="V676" s="6">
        <v>25</v>
      </c>
      <c r="W676" s="6">
        <v>0</v>
      </c>
      <c r="X676" s="6" t="s">
        <v>44</v>
      </c>
      <c r="Y676" s="6" t="s">
        <v>73</v>
      </c>
      <c r="Z676" s="6" t="s">
        <v>37</v>
      </c>
      <c r="AA676" s="6" t="s">
        <v>80</v>
      </c>
      <c r="AB676" s="6" t="s">
        <v>37</v>
      </c>
      <c r="AC676" s="6" t="s">
        <v>45</v>
      </c>
      <c r="AD676" s="26" t="s">
        <v>86</v>
      </c>
      <c r="AE676" s="7">
        <v>63</v>
      </c>
      <c r="AF676" s="6">
        <v>86</v>
      </c>
      <c r="AG676" s="10">
        <v>7</v>
      </c>
      <c r="AH676" s="48" t="s">
        <v>165</v>
      </c>
    </row>
    <row r="677" ht="13.9" spans="1:34">
      <c r="A677" s="6">
        <v>6061</v>
      </c>
      <c r="B677" s="7">
        <v>0.6</v>
      </c>
      <c r="C677" s="6">
        <v>0</v>
      </c>
      <c r="D677" s="6">
        <v>0.2</v>
      </c>
      <c r="E677" s="6">
        <v>0</v>
      </c>
      <c r="F677" s="6">
        <v>1</v>
      </c>
      <c r="G677" s="6">
        <v>0.25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8">
        <f t="shared" ref="T677:T683" si="22">100-SUM(B677:S677)</f>
        <v>97.95</v>
      </c>
      <c r="U677" s="7">
        <v>525</v>
      </c>
      <c r="V677" s="6">
        <v>181.5</v>
      </c>
      <c r="W677" s="6">
        <v>9</v>
      </c>
      <c r="X677" s="6" t="s">
        <v>34</v>
      </c>
      <c r="Y677" s="6" t="s">
        <v>73</v>
      </c>
      <c r="Z677" s="6" t="s">
        <v>79</v>
      </c>
      <c r="AA677" s="6" t="s">
        <v>74</v>
      </c>
      <c r="AB677" s="6" t="s">
        <v>37</v>
      </c>
      <c r="AC677" s="6" t="s">
        <v>38</v>
      </c>
      <c r="AD677" s="26" t="s">
        <v>83</v>
      </c>
      <c r="AE677" s="7">
        <v>355</v>
      </c>
      <c r="AF677" s="6">
        <v>407.5</v>
      </c>
      <c r="AG677" s="10" t="s">
        <v>40</v>
      </c>
      <c r="AH677" s="48" t="s">
        <v>166</v>
      </c>
    </row>
    <row r="678" ht="13.9" spans="1:34">
      <c r="A678" s="6">
        <v>6061</v>
      </c>
      <c r="B678" s="7">
        <v>0.6</v>
      </c>
      <c r="C678" s="6">
        <v>0</v>
      </c>
      <c r="D678" s="6">
        <v>0.2</v>
      </c>
      <c r="E678" s="6">
        <v>0</v>
      </c>
      <c r="F678" s="6">
        <v>1</v>
      </c>
      <c r="G678" s="6">
        <v>0.25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8">
        <f t="shared" si="22"/>
        <v>97.95</v>
      </c>
      <c r="U678" s="7">
        <v>525</v>
      </c>
      <c r="V678" s="6">
        <v>182</v>
      </c>
      <c r="W678" s="6">
        <v>9.5</v>
      </c>
      <c r="X678" s="6" t="s">
        <v>34</v>
      </c>
      <c r="Y678" s="6" t="s">
        <v>73</v>
      </c>
      <c r="Z678" s="6" t="s">
        <v>79</v>
      </c>
      <c r="AA678" s="6" t="s">
        <v>74</v>
      </c>
      <c r="AB678" s="6" t="s">
        <v>37</v>
      </c>
      <c r="AC678" s="6" t="s">
        <v>38</v>
      </c>
      <c r="AD678" s="26" t="s">
        <v>83</v>
      </c>
      <c r="AE678" s="7">
        <v>340</v>
      </c>
      <c r="AF678" s="6">
        <v>397.5</v>
      </c>
      <c r="AG678" s="10" t="s">
        <v>40</v>
      </c>
      <c r="AH678" s="48" t="s">
        <v>166</v>
      </c>
    </row>
    <row r="679" ht="13.9" spans="1:34">
      <c r="A679" s="6">
        <v>6061</v>
      </c>
      <c r="B679" s="7">
        <v>0.6</v>
      </c>
      <c r="C679" s="6">
        <v>0</v>
      </c>
      <c r="D679" s="6">
        <v>0.25</v>
      </c>
      <c r="E679" s="6">
        <v>0</v>
      </c>
      <c r="F679" s="6">
        <v>1</v>
      </c>
      <c r="G679" s="6">
        <v>0.25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8">
        <f t="shared" si="22"/>
        <v>97.9</v>
      </c>
      <c r="U679" s="7">
        <v>525</v>
      </c>
      <c r="V679" s="6">
        <v>181</v>
      </c>
      <c r="W679" s="6">
        <v>8.5</v>
      </c>
      <c r="X679" s="6" t="s">
        <v>42</v>
      </c>
      <c r="Y679" s="6" t="s">
        <v>73</v>
      </c>
      <c r="Z679" s="6" t="s">
        <v>37</v>
      </c>
      <c r="AA679" s="6" t="s">
        <v>74</v>
      </c>
      <c r="AB679" s="6" t="s">
        <v>37</v>
      </c>
      <c r="AC679" s="6" t="s">
        <v>69</v>
      </c>
      <c r="AD679" s="26" t="s">
        <v>77</v>
      </c>
      <c r="AE679" s="7">
        <v>270</v>
      </c>
      <c r="AF679" s="6">
        <v>315</v>
      </c>
      <c r="AG679" s="10">
        <v>21.8</v>
      </c>
      <c r="AH679" s="48" t="s">
        <v>166</v>
      </c>
    </row>
    <row r="680" ht="13.9" spans="1:34">
      <c r="A680" s="6">
        <v>6061</v>
      </c>
      <c r="B680" s="7">
        <v>0.6</v>
      </c>
      <c r="C680" s="6">
        <v>0</v>
      </c>
      <c r="D680" s="6">
        <v>0.2</v>
      </c>
      <c r="E680" s="6">
        <v>0</v>
      </c>
      <c r="F680" s="6">
        <v>1</v>
      </c>
      <c r="G680" s="6">
        <v>0.25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8">
        <f t="shared" si="22"/>
        <v>97.95</v>
      </c>
      <c r="U680" s="7">
        <v>525</v>
      </c>
      <c r="V680" s="6">
        <v>180</v>
      </c>
      <c r="W680" s="6">
        <v>7.5</v>
      </c>
      <c r="X680" s="6" t="s">
        <v>42</v>
      </c>
      <c r="Y680" s="6" t="s">
        <v>73</v>
      </c>
      <c r="Z680" s="6" t="s">
        <v>84</v>
      </c>
      <c r="AA680" s="6" t="s">
        <v>74</v>
      </c>
      <c r="AB680" s="6" t="s">
        <v>37</v>
      </c>
      <c r="AC680" s="6" t="s">
        <v>51</v>
      </c>
      <c r="AD680" s="26" t="s">
        <v>90</v>
      </c>
      <c r="AE680" s="7">
        <v>280</v>
      </c>
      <c r="AF680" s="6">
        <v>310</v>
      </c>
      <c r="AG680" s="10">
        <v>13</v>
      </c>
      <c r="AH680" s="48" t="s">
        <v>166</v>
      </c>
    </row>
    <row r="681" ht="13.9" spans="1:34">
      <c r="A681" s="6">
        <v>6061</v>
      </c>
      <c r="B681" s="7">
        <v>0.6</v>
      </c>
      <c r="C681" s="6">
        <v>0</v>
      </c>
      <c r="D681" s="6">
        <v>0.2</v>
      </c>
      <c r="E681" s="6">
        <v>0</v>
      </c>
      <c r="F681" s="6">
        <v>1</v>
      </c>
      <c r="G681" s="6">
        <v>0.25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8">
        <f t="shared" si="22"/>
        <v>97.95</v>
      </c>
      <c r="U681" s="7">
        <v>525</v>
      </c>
      <c r="V681" s="6">
        <v>180</v>
      </c>
      <c r="W681" s="6">
        <v>7.5</v>
      </c>
      <c r="X681" s="6" t="s">
        <v>42</v>
      </c>
      <c r="Y681" s="6" t="s">
        <v>73</v>
      </c>
      <c r="Z681" s="6" t="s">
        <v>37</v>
      </c>
      <c r="AA681" s="6" t="s">
        <v>74</v>
      </c>
      <c r="AB681" s="6" t="s">
        <v>37</v>
      </c>
      <c r="AC681" s="6" t="s">
        <v>51</v>
      </c>
      <c r="AD681" s="26" t="s">
        <v>77</v>
      </c>
      <c r="AE681" s="7">
        <v>280</v>
      </c>
      <c r="AF681" s="6">
        <v>310</v>
      </c>
      <c r="AG681" s="10">
        <v>13</v>
      </c>
      <c r="AH681" s="48" t="s">
        <v>166</v>
      </c>
    </row>
    <row r="682" ht="13.9" spans="1:34">
      <c r="A682" s="6">
        <v>6061</v>
      </c>
      <c r="B682" s="7">
        <v>0.6</v>
      </c>
      <c r="C682" s="6">
        <v>0</v>
      </c>
      <c r="D682" s="6">
        <v>0.2</v>
      </c>
      <c r="E682" s="6">
        <v>0</v>
      </c>
      <c r="F682" s="6">
        <v>1</v>
      </c>
      <c r="G682" s="6">
        <v>0.25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8">
        <f t="shared" si="22"/>
        <v>97.95</v>
      </c>
      <c r="U682" s="7">
        <v>525</v>
      </c>
      <c r="V682" s="6">
        <v>25</v>
      </c>
      <c r="W682" s="6">
        <v>0</v>
      </c>
      <c r="X682" s="6" t="s">
        <v>42</v>
      </c>
      <c r="Y682" s="6" t="s">
        <v>73</v>
      </c>
      <c r="Z682" s="6" t="s">
        <v>37</v>
      </c>
      <c r="AA682" s="6" t="s">
        <v>80</v>
      </c>
      <c r="AB682" s="6" t="s">
        <v>37</v>
      </c>
      <c r="AC682" s="6" t="s">
        <v>51</v>
      </c>
      <c r="AD682" s="26" t="s">
        <v>86</v>
      </c>
      <c r="AE682" s="7">
        <v>145</v>
      </c>
      <c r="AF682" s="6">
        <v>230</v>
      </c>
      <c r="AG682" s="10">
        <v>20</v>
      </c>
      <c r="AH682" s="48" t="s">
        <v>166</v>
      </c>
    </row>
    <row r="683" ht="13.9" spans="1:34">
      <c r="A683" s="6">
        <v>6061</v>
      </c>
      <c r="B683" s="7">
        <v>0.73</v>
      </c>
      <c r="C683" s="6">
        <v>0.17</v>
      </c>
      <c r="D683" s="6">
        <v>0.35</v>
      </c>
      <c r="E683" s="6">
        <v>0.002</v>
      </c>
      <c r="F683" s="6">
        <v>0.85</v>
      </c>
      <c r="G683" s="6">
        <v>0.06</v>
      </c>
      <c r="H683" s="6">
        <v>0</v>
      </c>
      <c r="I683" s="6">
        <v>0</v>
      </c>
      <c r="J683" s="6">
        <v>0.008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0.001</v>
      </c>
      <c r="R683" s="6">
        <v>0</v>
      </c>
      <c r="S683" s="6">
        <v>0</v>
      </c>
      <c r="T683" s="8">
        <f t="shared" si="22"/>
        <v>97.829</v>
      </c>
      <c r="U683" s="7">
        <v>560</v>
      </c>
      <c r="V683" s="6">
        <v>170</v>
      </c>
      <c r="W683" s="6">
        <v>17</v>
      </c>
      <c r="X683" s="6" t="s">
        <v>44</v>
      </c>
      <c r="Y683" s="6" t="s">
        <v>73</v>
      </c>
      <c r="Z683" s="6" t="s">
        <v>37</v>
      </c>
      <c r="AA683" s="6" t="s">
        <v>74</v>
      </c>
      <c r="AB683" s="6" t="s">
        <v>37</v>
      </c>
      <c r="AC683" s="6" t="s">
        <v>51</v>
      </c>
      <c r="AD683" s="26" t="s">
        <v>77</v>
      </c>
      <c r="AE683" s="7">
        <v>298</v>
      </c>
      <c r="AF683" s="6">
        <v>328</v>
      </c>
      <c r="AG683" s="10">
        <v>12</v>
      </c>
      <c r="AH683" s="48" t="s">
        <v>167</v>
      </c>
    </row>
    <row r="684" ht="13.9" spans="1:34">
      <c r="A684" s="6">
        <v>6061</v>
      </c>
      <c r="B684" s="7">
        <v>0.73</v>
      </c>
      <c r="C684" s="6">
        <v>0.17</v>
      </c>
      <c r="D684" s="6">
        <v>0.35</v>
      </c>
      <c r="E684" s="6">
        <v>0.002</v>
      </c>
      <c r="F684" s="6">
        <v>0.85</v>
      </c>
      <c r="G684" s="6">
        <v>0.06</v>
      </c>
      <c r="H684" s="6">
        <v>0</v>
      </c>
      <c r="I684" s="6">
        <v>0</v>
      </c>
      <c r="J684" s="6">
        <v>0.008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0.001</v>
      </c>
      <c r="R684" s="6">
        <v>0</v>
      </c>
      <c r="S684" s="6">
        <v>0</v>
      </c>
      <c r="T684" s="8">
        <v>97.829</v>
      </c>
      <c r="U684" s="7">
        <v>560</v>
      </c>
      <c r="V684" s="6">
        <v>170</v>
      </c>
      <c r="W684" s="6">
        <v>17</v>
      </c>
      <c r="X684" s="6" t="s">
        <v>44</v>
      </c>
      <c r="Y684" s="6" t="s">
        <v>73</v>
      </c>
      <c r="Z684" s="6" t="s">
        <v>37</v>
      </c>
      <c r="AA684" s="6" t="s">
        <v>74</v>
      </c>
      <c r="AB684" s="6" t="s">
        <v>37</v>
      </c>
      <c r="AC684" s="6" t="s">
        <v>69</v>
      </c>
      <c r="AD684" s="26" t="s">
        <v>77</v>
      </c>
      <c r="AE684" s="7">
        <v>298</v>
      </c>
      <c r="AF684" s="6">
        <v>328</v>
      </c>
      <c r="AG684" s="10">
        <v>12</v>
      </c>
      <c r="AH684" s="48" t="s">
        <v>167</v>
      </c>
    </row>
    <row r="685" ht="13.9" spans="1:34">
      <c r="A685" s="6">
        <v>6061</v>
      </c>
      <c r="B685" s="7">
        <v>0.73</v>
      </c>
      <c r="C685" s="6">
        <v>0.17</v>
      </c>
      <c r="D685" s="6">
        <v>0.35</v>
      </c>
      <c r="E685" s="6">
        <v>0.002</v>
      </c>
      <c r="F685" s="6">
        <v>0.85</v>
      </c>
      <c r="G685" s="6">
        <v>0.06</v>
      </c>
      <c r="H685" s="6">
        <v>0</v>
      </c>
      <c r="I685" s="6">
        <v>0</v>
      </c>
      <c r="J685" s="6">
        <v>0.008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0.001</v>
      </c>
      <c r="R685" s="6">
        <v>0</v>
      </c>
      <c r="S685" s="6">
        <v>0</v>
      </c>
      <c r="T685" s="8">
        <v>97.829</v>
      </c>
      <c r="U685" s="7">
        <v>560</v>
      </c>
      <c r="V685" s="6">
        <v>170</v>
      </c>
      <c r="W685" s="6">
        <v>17</v>
      </c>
      <c r="X685" s="6" t="s">
        <v>44</v>
      </c>
      <c r="Y685" s="6" t="s">
        <v>73</v>
      </c>
      <c r="Z685" s="6" t="s">
        <v>37</v>
      </c>
      <c r="AA685" s="6" t="s">
        <v>74</v>
      </c>
      <c r="AB685" s="6" t="s">
        <v>37</v>
      </c>
      <c r="AC685" s="6" t="s">
        <v>45</v>
      </c>
      <c r="AD685" s="26" t="s">
        <v>77</v>
      </c>
      <c r="AE685" s="7">
        <v>298</v>
      </c>
      <c r="AF685" s="6">
        <v>328</v>
      </c>
      <c r="AG685" s="10">
        <v>12</v>
      </c>
      <c r="AH685" s="48" t="s">
        <v>167</v>
      </c>
    </row>
    <row r="686" ht="13.9" spans="1:34">
      <c r="A686" s="6">
        <v>6061</v>
      </c>
      <c r="B686" s="7">
        <v>0.6</v>
      </c>
      <c r="C686" s="6">
        <v>0.7</v>
      </c>
      <c r="D686" s="6">
        <v>0.275</v>
      </c>
      <c r="E686" s="6">
        <v>0.15</v>
      </c>
      <c r="F686" s="6">
        <v>1</v>
      </c>
      <c r="G686" s="6">
        <v>0.195</v>
      </c>
      <c r="H686" s="6">
        <v>0.25</v>
      </c>
      <c r="I686" s="6">
        <v>0</v>
      </c>
      <c r="J686" s="6">
        <v>0.15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8">
        <f t="shared" ref="T686:T707" si="23">100-SUM(B686:S686)</f>
        <v>96.68</v>
      </c>
      <c r="U686" s="7">
        <v>530</v>
      </c>
      <c r="V686" s="6">
        <v>160</v>
      </c>
      <c r="W686" s="6">
        <v>18</v>
      </c>
      <c r="X686" s="6" t="s">
        <v>42</v>
      </c>
      <c r="Y686" s="6" t="s">
        <v>73</v>
      </c>
      <c r="Z686" s="6" t="s">
        <v>37</v>
      </c>
      <c r="AA686" s="6" t="s">
        <v>74</v>
      </c>
      <c r="AB686" s="6" t="s">
        <v>37</v>
      </c>
      <c r="AC686" s="6" t="s">
        <v>51</v>
      </c>
      <c r="AD686" s="26" t="s">
        <v>77</v>
      </c>
      <c r="AE686" s="7">
        <v>276</v>
      </c>
      <c r="AF686" s="6">
        <v>310</v>
      </c>
      <c r="AG686" s="10">
        <v>17</v>
      </c>
      <c r="AH686" s="48" t="s">
        <v>168</v>
      </c>
    </row>
    <row r="687" ht="13.9" spans="1:34">
      <c r="A687" s="6">
        <v>6061</v>
      </c>
      <c r="B687" s="7">
        <v>0.6</v>
      </c>
      <c r="C687" s="6">
        <v>0.7</v>
      </c>
      <c r="D687" s="6">
        <v>0.275</v>
      </c>
      <c r="E687" s="6">
        <v>0.15</v>
      </c>
      <c r="F687" s="6">
        <v>1</v>
      </c>
      <c r="G687" s="6">
        <v>0.195</v>
      </c>
      <c r="H687" s="6">
        <v>0.25</v>
      </c>
      <c r="I687" s="6">
        <v>0</v>
      </c>
      <c r="J687" s="6">
        <v>0.15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8">
        <f t="shared" si="23"/>
        <v>96.68</v>
      </c>
      <c r="U687" s="7">
        <v>530</v>
      </c>
      <c r="V687" s="6">
        <v>160</v>
      </c>
      <c r="W687" s="6">
        <v>18</v>
      </c>
      <c r="X687" s="6" t="s">
        <v>42</v>
      </c>
      <c r="Y687" s="6" t="s">
        <v>73</v>
      </c>
      <c r="Z687" s="6" t="s">
        <v>84</v>
      </c>
      <c r="AA687" s="6" t="s">
        <v>74</v>
      </c>
      <c r="AB687" s="6" t="s">
        <v>37</v>
      </c>
      <c r="AC687" s="6" t="s">
        <v>51</v>
      </c>
      <c r="AD687" s="26" t="s">
        <v>90</v>
      </c>
      <c r="AE687" s="7">
        <v>276</v>
      </c>
      <c r="AF687" s="6">
        <v>310</v>
      </c>
      <c r="AG687" s="10">
        <v>17</v>
      </c>
      <c r="AH687" s="48" t="s">
        <v>168</v>
      </c>
    </row>
    <row r="688" ht="13.9" spans="1:34">
      <c r="A688" s="6">
        <v>6061</v>
      </c>
      <c r="B688" s="7">
        <v>0.6</v>
      </c>
      <c r="C688" s="6">
        <v>0.7</v>
      </c>
      <c r="D688" s="6">
        <v>0.275</v>
      </c>
      <c r="E688" s="6">
        <v>0.15</v>
      </c>
      <c r="F688" s="6">
        <v>1</v>
      </c>
      <c r="G688" s="6">
        <v>0.195</v>
      </c>
      <c r="H688" s="6">
        <v>0.25</v>
      </c>
      <c r="I688" s="6">
        <v>0</v>
      </c>
      <c r="J688" s="6">
        <v>0.15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8">
        <f t="shared" si="23"/>
        <v>96.68</v>
      </c>
      <c r="U688" s="7">
        <v>530</v>
      </c>
      <c r="V688" s="6">
        <v>160</v>
      </c>
      <c r="W688" s="6">
        <v>18</v>
      </c>
      <c r="X688" s="6" t="s">
        <v>42</v>
      </c>
      <c r="Y688" s="6" t="s">
        <v>73</v>
      </c>
      <c r="Z688" s="6" t="s">
        <v>37</v>
      </c>
      <c r="AA688" s="6" t="s">
        <v>74</v>
      </c>
      <c r="AB688" s="6" t="s">
        <v>37</v>
      </c>
      <c r="AC688" s="6" t="s">
        <v>69</v>
      </c>
      <c r="AD688" s="26" t="s">
        <v>77</v>
      </c>
      <c r="AE688" s="7">
        <v>276</v>
      </c>
      <c r="AF688" s="6">
        <v>310</v>
      </c>
      <c r="AG688" s="10">
        <v>17</v>
      </c>
      <c r="AH688" s="48" t="s">
        <v>168</v>
      </c>
    </row>
    <row r="689" ht="13.9" spans="1:34">
      <c r="A689" s="6">
        <v>6061</v>
      </c>
      <c r="B689" s="7">
        <v>0.6</v>
      </c>
      <c r="C689" s="6">
        <v>0.7</v>
      </c>
      <c r="D689" s="6">
        <v>0.275</v>
      </c>
      <c r="E689" s="6">
        <v>0.15</v>
      </c>
      <c r="F689" s="6">
        <v>1</v>
      </c>
      <c r="G689" s="6">
        <v>0.195</v>
      </c>
      <c r="H689" s="6">
        <v>0.25</v>
      </c>
      <c r="I689" s="6">
        <v>0</v>
      </c>
      <c r="J689" s="6">
        <v>0.15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8">
        <f t="shared" si="23"/>
        <v>96.68</v>
      </c>
      <c r="U689" s="7">
        <v>530</v>
      </c>
      <c r="V689" s="6">
        <v>160</v>
      </c>
      <c r="W689" s="6">
        <v>18</v>
      </c>
      <c r="X689" s="6" t="s">
        <v>42</v>
      </c>
      <c r="Y689" s="6" t="s">
        <v>73</v>
      </c>
      <c r="Z689" s="6" t="s">
        <v>84</v>
      </c>
      <c r="AA689" s="6" t="s">
        <v>74</v>
      </c>
      <c r="AB689" s="6" t="s">
        <v>37</v>
      </c>
      <c r="AC689" s="6" t="s">
        <v>69</v>
      </c>
      <c r="AD689" s="26" t="s">
        <v>90</v>
      </c>
      <c r="AE689" s="7">
        <v>276</v>
      </c>
      <c r="AF689" s="6">
        <v>310</v>
      </c>
      <c r="AG689" s="10">
        <v>17</v>
      </c>
      <c r="AH689" s="48" t="s">
        <v>168</v>
      </c>
    </row>
    <row r="690" ht="13.9" spans="1:34">
      <c r="A690" s="6">
        <v>6061</v>
      </c>
      <c r="B690" s="7">
        <v>0.6</v>
      </c>
      <c r="C690" s="6">
        <v>0.7</v>
      </c>
      <c r="D690" s="6">
        <v>0.275</v>
      </c>
      <c r="E690" s="6">
        <v>0.15</v>
      </c>
      <c r="F690" s="6">
        <v>1</v>
      </c>
      <c r="G690" s="6">
        <v>0.195</v>
      </c>
      <c r="H690" s="6">
        <v>0.25</v>
      </c>
      <c r="I690" s="6">
        <v>0</v>
      </c>
      <c r="J690" s="6">
        <v>0.15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8">
        <f t="shared" si="23"/>
        <v>96.68</v>
      </c>
      <c r="U690" s="7">
        <v>530</v>
      </c>
      <c r="V690" s="6">
        <v>160</v>
      </c>
      <c r="W690" s="6">
        <v>18</v>
      </c>
      <c r="X690" s="6" t="s">
        <v>42</v>
      </c>
      <c r="Y690" s="6" t="s">
        <v>73</v>
      </c>
      <c r="Z690" s="6" t="s">
        <v>37</v>
      </c>
      <c r="AA690" s="6" t="s">
        <v>74</v>
      </c>
      <c r="AB690" s="6" t="s">
        <v>37</v>
      </c>
      <c r="AC690" s="6" t="s">
        <v>38</v>
      </c>
      <c r="AD690" s="26" t="s">
        <v>77</v>
      </c>
      <c r="AE690" s="7">
        <v>276</v>
      </c>
      <c r="AF690" s="6">
        <v>310</v>
      </c>
      <c r="AG690" s="34">
        <v>17</v>
      </c>
      <c r="AH690" s="31" t="s">
        <v>54</v>
      </c>
    </row>
    <row r="691" ht="13.9" spans="1:34">
      <c r="A691" s="6">
        <v>6061</v>
      </c>
      <c r="B691" s="7">
        <v>0.6</v>
      </c>
      <c r="C691" s="6">
        <v>0.7</v>
      </c>
      <c r="D691" s="6">
        <v>0.275</v>
      </c>
      <c r="E691" s="6">
        <v>0.15</v>
      </c>
      <c r="F691" s="6">
        <v>1</v>
      </c>
      <c r="G691" s="6">
        <v>0.195</v>
      </c>
      <c r="H691" s="6">
        <v>0.25</v>
      </c>
      <c r="I691" s="6">
        <v>0</v>
      </c>
      <c r="J691" s="6">
        <v>0.15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8">
        <f t="shared" si="23"/>
        <v>96.68</v>
      </c>
      <c r="U691" s="7">
        <v>530</v>
      </c>
      <c r="V691" s="6">
        <v>160</v>
      </c>
      <c r="W691" s="6">
        <v>18</v>
      </c>
      <c r="X691" s="6" t="s">
        <v>42</v>
      </c>
      <c r="Y691" s="6" t="s">
        <v>73</v>
      </c>
      <c r="Z691" s="6" t="s">
        <v>84</v>
      </c>
      <c r="AA691" s="6" t="s">
        <v>74</v>
      </c>
      <c r="AB691" s="6" t="s">
        <v>37</v>
      </c>
      <c r="AC691" s="6" t="s">
        <v>38</v>
      </c>
      <c r="AD691" s="26" t="s">
        <v>90</v>
      </c>
      <c r="AE691" s="7">
        <v>276</v>
      </c>
      <c r="AF691" s="6">
        <v>310</v>
      </c>
      <c r="AG691" s="34">
        <v>17</v>
      </c>
      <c r="AH691" s="31" t="s">
        <v>54</v>
      </c>
    </row>
    <row r="692" ht="13.9" spans="1:34">
      <c r="A692" s="6">
        <v>6061</v>
      </c>
      <c r="B692" s="7">
        <v>0.6</v>
      </c>
      <c r="C692" s="6">
        <v>0.7</v>
      </c>
      <c r="D692" s="6">
        <v>0.275</v>
      </c>
      <c r="E692" s="6">
        <v>0.15</v>
      </c>
      <c r="F692" s="6">
        <v>1</v>
      </c>
      <c r="G692" s="6">
        <v>0.195</v>
      </c>
      <c r="H692" s="6">
        <v>0.25</v>
      </c>
      <c r="I692" s="6">
        <v>0</v>
      </c>
      <c r="J692" s="6">
        <v>0.15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8">
        <f t="shared" si="23"/>
        <v>96.68</v>
      </c>
      <c r="U692" s="7">
        <v>530</v>
      </c>
      <c r="V692" s="6">
        <v>25</v>
      </c>
      <c r="W692" s="6">
        <v>0</v>
      </c>
      <c r="X692" s="6" t="s">
        <v>42</v>
      </c>
      <c r="Y692" s="6" t="s">
        <v>73</v>
      </c>
      <c r="Z692" s="6" t="s">
        <v>37</v>
      </c>
      <c r="AA692" s="6" t="s">
        <v>80</v>
      </c>
      <c r="AB692" s="6" t="s">
        <v>37</v>
      </c>
      <c r="AC692" s="6" t="s">
        <v>51</v>
      </c>
      <c r="AD692" s="26" t="s">
        <v>86</v>
      </c>
      <c r="AE692" s="7">
        <v>145</v>
      </c>
      <c r="AF692" s="6">
        <v>241</v>
      </c>
      <c r="AG692" s="10">
        <v>25</v>
      </c>
      <c r="AH692" s="48" t="s">
        <v>168</v>
      </c>
    </row>
    <row r="693" ht="13.9" spans="1:34">
      <c r="A693" s="6">
        <v>6061</v>
      </c>
      <c r="B693" s="7">
        <v>0.6</v>
      </c>
      <c r="C693" s="6">
        <v>0.7</v>
      </c>
      <c r="D693" s="6">
        <v>0.275</v>
      </c>
      <c r="E693" s="6">
        <v>0.15</v>
      </c>
      <c r="F693" s="6">
        <v>1</v>
      </c>
      <c r="G693" s="6">
        <v>0.195</v>
      </c>
      <c r="H693" s="6">
        <v>0.25</v>
      </c>
      <c r="I693" s="6">
        <v>0</v>
      </c>
      <c r="J693" s="6">
        <v>0.15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8">
        <f t="shared" si="23"/>
        <v>96.68</v>
      </c>
      <c r="U693" s="7">
        <v>530</v>
      </c>
      <c r="V693" s="6">
        <v>25</v>
      </c>
      <c r="W693" s="6">
        <v>0</v>
      </c>
      <c r="X693" s="6" t="s">
        <v>42</v>
      </c>
      <c r="Y693" s="6" t="s">
        <v>73</v>
      </c>
      <c r="Z693" s="6" t="s">
        <v>84</v>
      </c>
      <c r="AA693" s="6" t="s">
        <v>80</v>
      </c>
      <c r="AB693" s="6" t="s">
        <v>37</v>
      </c>
      <c r="AC693" s="6" t="s">
        <v>51</v>
      </c>
      <c r="AD693" s="26" t="s">
        <v>85</v>
      </c>
      <c r="AE693" s="7">
        <v>145</v>
      </c>
      <c r="AF693" s="6">
        <v>241</v>
      </c>
      <c r="AG693" s="10">
        <v>25</v>
      </c>
      <c r="AH693" s="48" t="s">
        <v>168</v>
      </c>
    </row>
    <row r="694" ht="13.9" spans="1:34">
      <c r="A694" s="6">
        <v>6061</v>
      </c>
      <c r="B694" s="7">
        <v>0.6</v>
      </c>
      <c r="C694" s="6">
        <v>0.7</v>
      </c>
      <c r="D694" s="6">
        <v>0.275</v>
      </c>
      <c r="E694" s="6">
        <v>0.15</v>
      </c>
      <c r="F694" s="6">
        <v>1</v>
      </c>
      <c r="G694" s="6">
        <v>0.195</v>
      </c>
      <c r="H694" s="6">
        <v>0.25</v>
      </c>
      <c r="I694" s="6">
        <v>0</v>
      </c>
      <c r="J694" s="6">
        <v>0.15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8">
        <f t="shared" si="23"/>
        <v>96.68</v>
      </c>
      <c r="U694" s="7">
        <v>530</v>
      </c>
      <c r="V694" s="6">
        <v>25</v>
      </c>
      <c r="W694" s="6">
        <v>0</v>
      </c>
      <c r="X694" s="6" t="s">
        <v>42</v>
      </c>
      <c r="Y694" s="6" t="s">
        <v>73</v>
      </c>
      <c r="Z694" s="6" t="s">
        <v>37</v>
      </c>
      <c r="AA694" s="6" t="s">
        <v>80</v>
      </c>
      <c r="AB694" s="6" t="s">
        <v>37</v>
      </c>
      <c r="AC694" s="6" t="s">
        <v>69</v>
      </c>
      <c r="AD694" s="26" t="s">
        <v>86</v>
      </c>
      <c r="AE694" s="7">
        <v>145</v>
      </c>
      <c r="AF694" s="6">
        <v>241</v>
      </c>
      <c r="AG694" s="10">
        <v>25</v>
      </c>
      <c r="AH694" s="48" t="s">
        <v>168</v>
      </c>
    </row>
    <row r="695" ht="13.9" spans="1:34">
      <c r="A695" s="6">
        <v>6061</v>
      </c>
      <c r="B695" s="7">
        <v>0.6</v>
      </c>
      <c r="C695" s="6">
        <v>0.7</v>
      </c>
      <c r="D695" s="6">
        <v>0.275</v>
      </c>
      <c r="E695" s="6">
        <v>0.15</v>
      </c>
      <c r="F695" s="6">
        <v>1</v>
      </c>
      <c r="G695" s="6">
        <v>0.195</v>
      </c>
      <c r="H695" s="6">
        <v>0.25</v>
      </c>
      <c r="I695" s="6">
        <v>0</v>
      </c>
      <c r="J695" s="6">
        <v>0.15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8">
        <f t="shared" si="23"/>
        <v>96.68</v>
      </c>
      <c r="U695" s="7">
        <v>530</v>
      </c>
      <c r="V695" s="6">
        <v>25</v>
      </c>
      <c r="W695" s="6">
        <v>0</v>
      </c>
      <c r="X695" s="6" t="s">
        <v>42</v>
      </c>
      <c r="Y695" s="6" t="s">
        <v>73</v>
      </c>
      <c r="Z695" s="6" t="s">
        <v>84</v>
      </c>
      <c r="AA695" s="6" t="s">
        <v>80</v>
      </c>
      <c r="AB695" s="6" t="s">
        <v>37</v>
      </c>
      <c r="AC695" s="6" t="s">
        <v>69</v>
      </c>
      <c r="AD695" s="26" t="s">
        <v>85</v>
      </c>
      <c r="AE695" s="7">
        <v>145</v>
      </c>
      <c r="AF695" s="6">
        <v>241</v>
      </c>
      <c r="AG695" s="10">
        <v>25</v>
      </c>
      <c r="AH695" s="31" t="s">
        <v>54</v>
      </c>
    </row>
    <row r="696" ht="13.9" spans="1:34">
      <c r="A696" s="6">
        <v>6061</v>
      </c>
      <c r="B696" s="7">
        <v>0.6</v>
      </c>
      <c r="C696" s="6">
        <v>0.7</v>
      </c>
      <c r="D696" s="6">
        <v>0.275</v>
      </c>
      <c r="E696" s="6">
        <v>0.15</v>
      </c>
      <c r="F696" s="6">
        <v>1</v>
      </c>
      <c r="G696" s="6">
        <v>0.195</v>
      </c>
      <c r="H696" s="6">
        <v>0.25</v>
      </c>
      <c r="I696" s="6">
        <v>0</v>
      </c>
      <c r="J696" s="6">
        <v>0.15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8">
        <f t="shared" si="23"/>
        <v>96.68</v>
      </c>
      <c r="U696" s="7">
        <v>530</v>
      </c>
      <c r="V696" s="6">
        <v>25</v>
      </c>
      <c r="W696" s="6">
        <v>0</v>
      </c>
      <c r="X696" s="6" t="s">
        <v>42</v>
      </c>
      <c r="Y696" s="6" t="s">
        <v>73</v>
      </c>
      <c r="Z696" s="6" t="s">
        <v>37</v>
      </c>
      <c r="AA696" s="6" t="s">
        <v>80</v>
      </c>
      <c r="AB696" s="6" t="s">
        <v>37</v>
      </c>
      <c r="AC696" s="6" t="s">
        <v>38</v>
      </c>
      <c r="AD696" s="26" t="s">
        <v>86</v>
      </c>
      <c r="AE696" s="7">
        <v>145</v>
      </c>
      <c r="AF696" s="6">
        <v>241</v>
      </c>
      <c r="AG696" s="34">
        <v>25</v>
      </c>
      <c r="AH696" s="31" t="s">
        <v>54</v>
      </c>
    </row>
    <row r="697" ht="13.9" spans="1:34">
      <c r="A697" s="6">
        <v>6061</v>
      </c>
      <c r="B697" s="7">
        <v>0.6</v>
      </c>
      <c r="C697" s="6">
        <v>0.7</v>
      </c>
      <c r="D697" s="6">
        <v>0.275</v>
      </c>
      <c r="E697" s="6">
        <v>0.15</v>
      </c>
      <c r="F697" s="6">
        <v>1</v>
      </c>
      <c r="G697" s="6">
        <v>0.195</v>
      </c>
      <c r="H697" s="6">
        <v>0.25</v>
      </c>
      <c r="I697" s="6">
        <v>0</v>
      </c>
      <c r="J697" s="6">
        <v>0.15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8">
        <f t="shared" si="23"/>
        <v>96.68</v>
      </c>
      <c r="U697" s="7">
        <v>530</v>
      </c>
      <c r="V697" s="6">
        <v>25</v>
      </c>
      <c r="W697" s="6">
        <v>0</v>
      </c>
      <c r="X697" s="6" t="s">
        <v>42</v>
      </c>
      <c r="Y697" s="6" t="s">
        <v>73</v>
      </c>
      <c r="Z697" s="6" t="s">
        <v>84</v>
      </c>
      <c r="AA697" s="6" t="s">
        <v>80</v>
      </c>
      <c r="AB697" s="6" t="s">
        <v>37</v>
      </c>
      <c r="AC697" s="6" t="s">
        <v>38</v>
      </c>
      <c r="AD697" s="26" t="s">
        <v>85</v>
      </c>
      <c r="AE697" s="7">
        <v>145</v>
      </c>
      <c r="AF697" s="6">
        <v>241</v>
      </c>
      <c r="AG697" s="10">
        <v>25</v>
      </c>
      <c r="AH697" s="31" t="s">
        <v>54</v>
      </c>
    </row>
    <row r="698" ht="13.9" spans="1:34">
      <c r="A698" s="6">
        <v>6061</v>
      </c>
      <c r="B698" s="7">
        <v>0.6</v>
      </c>
      <c r="C698" s="6">
        <v>0.7</v>
      </c>
      <c r="D698" s="6">
        <v>0.275</v>
      </c>
      <c r="E698" s="6">
        <v>0.15</v>
      </c>
      <c r="F698" s="6">
        <v>1</v>
      </c>
      <c r="G698" s="6">
        <v>0.195</v>
      </c>
      <c r="H698" s="6">
        <v>0.25</v>
      </c>
      <c r="I698" s="6">
        <v>0</v>
      </c>
      <c r="J698" s="6">
        <v>0.15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8">
        <f t="shared" si="23"/>
        <v>96.68</v>
      </c>
      <c r="U698" s="7">
        <v>530</v>
      </c>
      <c r="V698" s="6">
        <v>25</v>
      </c>
      <c r="W698" s="6">
        <v>0</v>
      </c>
      <c r="X698" s="6" t="s">
        <v>42</v>
      </c>
      <c r="Y698" s="6" t="s">
        <v>50</v>
      </c>
      <c r="Z698" s="6" t="s">
        <v>37</v>
      </c>
      <c r="AA698" s="6" t="s">
        <v>37</v>
      </c>
      <c r="AB698" s="6" t="s">
        <v>37</v>
      </c>
      <c r="AC698" s="6" t="s">
        <v>51</v>
      </c>
      <c r="AD698" s="26" t="s">
        <v>57</v>
      </c>
      <c r="AE698" s="7">
        <v>55</v>
      </c>
      <c r="AF698" s="6">
        <v>124</v>
      </c>
      <c r="AG698" s="10">
        <v>30</v>
      </c>
      <c r="AH698" s="48" t="s">
        <v>168</v>
      </c>
    </row>
    <row r="699" ht="13.9" spans="1:34">
      <c r="A699" s="6">
        <v>6061</v>
      </c>
      <c r="B699" s="7">
        <v>0.6</v>
      </c>
      <c r="C699" s="6">
        <v>0.7</v>
      </c>
      <c r="D699" s="6">
        <v>0.275</v>
      </c>
      <c r="E699" s="6">
        <v>0.15</v>
      </c>
      <c r="F699" s="6">
        <v>1</v>
      </c>
      <c r="G699" s="6">
        <v>0.195</v>
      </c>
      <c r="H699" s="6">
        <v>0.25</v>
      </c>
      <c r="I699" s="6">
        <v>0</v>
      </c>
      <c r="J699" s="6">
        <v>0.15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8">
        <f t="shared" si="23"/>
        <v>96.68</v>
      </c>
      <c r="U699" s="7">
        <v>530</v>
      </c>
      <c r="V699" s="6">
        <v>25</v>
      </c>
      <c r="W699" s="6">
        <v>0</v>
      </c>
      <c r="X699" s="6" t="s">
        <v>42</v>
      </c>
      <c r="Y699" s="6" t="s">
        <v>50</v>
      </c>
      <c r="Z699" s="6" t="s">
        <v>37</v>
      </c>
      <c r="AA699" s="6" t="s">
        <v>37</v>
      </c>
      <c r="AB699" s="6" t="s">
        <v>37</v>
      </c>
      <c r="AC699" s="6" t="s">
        <v>69</v>
      </c>
      <c r="AD699" s="26" t="s">
        <v>57</v>
      </c>
      <c r="AE699" s="7">
        <v>55</v>
      </c>
      <c r="AF699" s="6">
        <v>124</v>
      </c>
      <c r="AG699" s="10">
        <v>30</v>
      </c>
      <c r="AH699" s="31" t="s">
        <v>54</v>
      </c>
    </row>
    <row r="700" ht="13.9" spans="1:34">
      <c r="A700" s="6">
        <v>6061</v>
      </c>
      <c r="B700" s="7">
        <v>0.6</v>
      </c>
      <c r="C700" s="6">
        <v>0.7</v>
      </c>
      <c r="D700" s="6">
        <v>0.275</v>
      </c>
      <c r="E700" s="6">
        <v>0.15</v>
      </c>
      <c r="F700" s="6">
        <v>1</v>
      </c>
      <c r="G700" s="6">
        <v>0.195</v>
      </c>
      <c r="H700" s="6">
        <v>0.25</v>
      </c>
      <c r="I700" s="6">
        <v>0</v>
      </c>
      <c r="J700" s="6">
        <v>0.15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8">
        <f t="shared" si="23"/>
        <v>96.68</v>
      </c>
      <c r="U700" s="7">
        <v>530</v>
      </c>
      <c r="V700" s="6">
        <v>25</v>
      </c>
      <c r="W700" s="6">
        <v>0</v>
      </c>
      <c r="X700" s="6" t="s">
        <v>42</v>
      </c>
      <c r="Y700" s="6" t="s">
        <v>50</v>
      </c>
      <c r="Z700" s="6" t="s">
        <v>37</v>
      </c>
      <c r="AA700" s="6" t="s">
        <v>37</v>
      </c>
      <c r="AB700" s="6" t="s">
        <v>37</v>
      </c>
      <c r="AC700" s="6" t="s">
        <v>38</v>
      </c>
      <c r="AD700" s="26" t="s">
        <v>57</v>
      </c>
      <c r="AE700" s="7">
        <v>55</v>
      </c>
      <c r="AF700" s="6">
        <v>124</v>
      </c>
      <c r="AG700" s="10">
        <v>30</v>
      </c>
      <c r="AH700" s="31" t="s">
        <v>54</v>
      </c>
    </row>
    <row r="701" ht="13.9" spans="1:34">
      <c r="A701" s="6">
        <v>6061</v>
      </c>
      <c r="B701" s="7">
        <v>0.49</v>
      </c>
      <c r="C701" s="6">
        <v>0.24</v>
      </c>
      <c r="D701" s="6">
        <v>0.31</v>
      </c>
      <c r="E701" s="6">
        <v>0.01</v>
      </c>
      <c r="F701" s="6">
        <v>1.01</v>
      </c>
      <c r="G701" s="6">
        <v>0.055</v>
      </c>
      <c r="H701" s="6">
        <v>0.05</v>
      </c>
      <c r="I701" s="6">
        <v>0.01</v>
      </c>
      <c r="J701" s="6">
        <v>0</v>
      </c>
      <c r="K701" s="6">
        <v>0</v>
      </c>
      <c r="L701" s="6">
        <v>0</v>
      </c>
      <c r="M701" s="6">
        <v>0.06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8">
        <f t="shared" si="23"/>
        <v>97.765</v>
      </c>
      <c r="U701" s="7">
        <v>530</v>
      </c>
      <c r="V701" s="6">
        <v>25</v>
      </c>
      <c r="W701" s="6">
        <v>504</v>
      </c>
      <c r="X701" s="6" t="s">
        <v>44</v>
      </c>
      <c r="Y701" s="6" t="s">
        <v>73</v>
      </c>
      <c r="Z701" s="6" t="s">
        <v>37</v>
      </c>
      <c r="AA701" s="6" t="s">
        <v>80</v>
      </c>
      <c r="AB701" s="6" t="s">
        <v>37</v>
      </c>
      <c r="AC701" s="6" t="s">
        <v>45</v>
      </c>
      <c r="AD701" s="26" t="s">
        <v>86</v>
      </c>
      <c r="AE701" s="7">
        <v>210</v>
      </c>
      <c r="AF701" s="6">
        <v>305</v>
      </c>
      <c r="AG701" s="34" t="s">
        <v>40</v>
      </c>
      <c r="AH701" s="48" t="s">
        <v>169</v>
      </c>
    </row>
    <row r="702" ht="13.9" spans="1:34">
      <c r="A702" s="6">
        <v>6061</v>
      </c>
      <c r="B702" s="7">
        <v>0.49</v>
      </c>
      <c r="C702" s="6">
        <v>0.24</v>
      </c>
      <c r="D702" s="6">
        <v>0.31</v>
      </c>
      <c r="E702" s="6">
        <v>0.01</v>
      </c>
      <c r="F702" s="6">
        <v>1.01</v>
      </c>
      <c r="G702" s="6">
        <v>0.055</v>
      </c>
      <c r="H702" s="6">
        <v>0.05</v>
      </c>
      <c r="I702" s="6">
        <v>0.01</v>
      </c>
      <c r="J702" s="6">
        <v>0</v>
      </c>
      <c r="K702" s="6">
        <v>0</v>
      </c>
      <c r="L702" s="6">
        <v>0</v>
      </c>
      <c r="M702" s="6">
        <v>0.06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8">
        <f t="shared" si="23"/>
        <v>97.765</v>
      </c>
      <c r="U702" s="7">
        <v>530</v>
      </c>
      <c r="V702" s="6">
        <v>200</v>
      </c>
      <c r="W702" s="6">
        <v>0.3</v>
      </c>
      <c r="X702" s="6" t="s">
        <v>44</v>
      </c>
      <c r="Y702" s="6" t="s">
        <v>73</v>
      </c>
      <c r="Z702" s="6" t="s">
        <v>37</v>
      </c>
      <c r="AA702" s="6" t="s">
        <v>74</v>
      </c>
      <c r="AB702" s="6" t="s">
        <v>37</v>
      </c>
      <c r="AC702" s="6" t="s">
        <v>45</v>
      </c>
      <c r="AD702" s="26" t="s">
        <v>77</v>
      </c>
      <c r="AE702" s="7">
        <v>175</v>
      </c>
      <c r="AF702" s="6">
        <v>305</v>
      </c>
      <c r="AG702" s="34" t="s">
        <v>40</v>
      </c>
      <c r="AH702" s="48" t="s">
        <v>169</v>
      </c>
    </row>
    <row r="703" ht="13.9" spans="1:34">
      <c r="A703" s="6">
        <v>6061</v>
      </c>
      <c r="B703" s="7">
        <v>0.49</v>
      </c>
      <c r="C703" s="6">
        <v>0.24</v>
      </c>
      <c r="D703" s="6">
        <v>0.31</v>
      </c>
      <c r="E703" s="6">
        <v>0.01</v>
      </c>
      <c r="F703" s="6">
        <v>1.01</v>
      </c>
      <c r="G703" s="6">
        <v>0.055</v>
      </c>
      <c r="H703" s="6">
        <v>0.05</v>
      </c>
      <c r="I703" s="6">
        <v>0.01</v>
      </c>
      <c r="J703" s="6">
        <v>0</v>
      </c>
      <c r="K703" s="6">
        <v>0</v>
      </c>
      <c r="L703" s="6">
        <v>0</v>
      </c>
      <c r="M703" s="6">
        <v>0.06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8">
        <f t="shared" si="23"/>
        <v>97.765</v>
      </c>
      <c r="U703" s="7">
        <v>530</v>
      </c>
      <c r="V703" s="6">
        <v>25</v>
      </c>
      <c r="W703" s="6">
        <v>0</v>
      </c>
      <c r="X703" s="6" t="s">
        <v>44</v>
      </c>
      <c r="Y703" s="6" t="s">
        <v>73</v>
      </c>
      <c r="Z703" s="6" t="s">
        <v>37</v>
      </c>
      <c r="AA703" s="6" t="s">
        <v>80</v>
      </c>
      <c r="AB703" s="6" t="s">
        <v>37</v>
      </c>
      <c r="AC703" s="6" t="s">
        <v>45</v>
      </c>
      <c r="AD703" s="26" t="s">
        <v>86</v>
      </c>
      <c r="AE703" s="7">
        <v>100</v>
      </c>
      <c r="AF703" s="6">
        <v>257</v>
      </c>
      <c r="AG703" s="34" t="s">
        <v>40</v>
      </c>
      <c r="AH703" s="48" t="s">
        <v>169</v>
      </c>
    </row>
    <row r="704" ht="13.9" spans="1:34">
      <c r="A704" s="6">
        <v>6061</v>
      </c>
      <c r="B704" s="7">
        <v>0.49</v>
      </c>
      <c r="C704" s="6">
        <v>0.24</v>
      </c>
      <c r="D704" s="6">
        <v>0.31</v>
      </c>
      <c r="E704" s="6">
        <v>0.01</v>
      </c>
      <c r="F704" s="6">
        <v>1.01</v>
      </c>
      <c r="G704" s="6">
        <v>0.055</v>
      </c>
      <c r="H704" s="6">
        <v>0.05</v>
      </c>
      <c r="I704" s="6">
        <v>0.01</v>
      </c>
      <c r="J704" s="6">
        <v>0</v>
      </c>
      <c r="K704" s="6">
        <v>0</v>
      </c>
      <c r="L704" s="6">
        <v>0</v>
      </c>
      <c r="M704" s="6">
        <v>0.06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8">
        <f t="shared" si="23"/>
        <v>97.765</v>
      </c>
      <c r="U704" s="7">
        <v>530</v>
      </c>
      <c r="V704" s="6">
        <v>25</v>
      </c>
      <c r="W704" s="6">
        <v>0</v>
      </c>
      <c r="X704" s="6" t="s">
        <v>42</v>
      </c>
      <c r="Y704" s="6" t="s">
        <v>73</v>
      </c>
      <c r="Z704" s="6" t="s">
        <v>37</v>
      </c>
      <c r="AA704" s="6" t="s">
        <v>80</v>
      </c>
      <c r="AB704" s="6" t="s">
        <v>37</v>
      </c>
      <c r="AC704" s="6" t="s">
        <v>45</v>
      </c>
      <c r="AD704" s="26" t="s">
        <v>86</v>
      </c>
      <c r="AE704" s="7">
        <v>100</v>
      </c>
      <c r="AF704" s="6">
        <v>257</v>
      </c>
      <c r="AG704" s="34" t="s">
        <v>40</v>
      </c>
      <c r="AH704" s="48" t="s">
        <v>169</v>
      </c>
    </row>
    <row r="705" ht="13.9" spans="1:34">
      <c r="A705" s="6">
        <v>6061</v>
      </c>
      <c r="B705" s="7">
        <v>0.6</v>
      </c>
      <c r="C705" s="6">
        <v>0.7</v>
      </c>
      <c r="D705" s="6">
        <v>0.275</v>
      </c>
      <c r="E705" s="6">
        <v>0.15</v>
      </c>
      <c r="F705" s="6">
        <v>1</v>
      </c>
      <c r="G705" s="6">
        <v>0.195</v>
      </c>
      <c r="H705" s="6">
        <v>0.25</v>
      </c>
      <c r="I705" s="6">
        <v>0</v>
      </c>
      <c r="J705" s="6">
        <v>0.15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8">
        <f t="shared" si="23"/>
        <v>96.68</v>
      </c>
      <c r="U705" s="7">
        <v>415</v>
      </c>
      <c r="V705" s="6">
        <v>25</v>
      </c>
      <c r="W705" s="6">
        <v>0</v>
      </c>
      <c r="X705" s="6" t="s">
        <v>42</v>
      </c>
      <c r="Y705" s="6" t="s">
        <v>50</v>
      </c>
      <c r="Z705" s="6" t="s">
        <v>37</v>
      </c>
      <c r="AA705" s="6" t="s">
        <v>37</v>
      </c>
      <c r="AB705" s="6" t="s">
        <v>37</v>
      </c>
      <c r="AC705" s="6" t="s">
        <v>69</v>
      </c>
      <c r="AD705" s="26" t="s">
        <v>57</v>
      </c>
      <c r="AE705" s="7">
        <v>65</v>
      </c>
      <c r="AF705" s="6" t="s">
        <v>40</v>
      </c>
      <c r="AG705" s="10">
        <v>45</v>
      </c>
      <c r="AH705" s="48" t="s">
        <v>170</v>
      </c>
    </row>
    <row r="706" ht="13.9" spans="1:34">
      <c r="A706" s="6">
        <v>6061</v>
      </c>
      <c r="B706" s="7">
        <v>0.6</v>
      </c>
      <c r="C706" s="6">
        <v>0.7</v>
      </c>
      <c r="D706" s="6">
        <v>0.275</v>
      </c>
      <c r="E706" s="6">
        <v>0.15</v>
      </c>
      <c r="F706" s="6">
        <v>1</v>
      </c>
      <c r="G706" s="6">
        <v>0.195</v>
      </c>
      <c r="H706" s="6">
        <v>0.25</v>
      </c>
      <c r="I706" s="6">
        <v>0</v>
      </c>
      <c r="J706" s="6">
        <v>0.15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8">
        <f t="shared" si="23"/>
        <v>96.68</v>
      </c>
      <c r="U706" s="7">
        <v>530</v>
      </c>
      <c r="V706" s="6">
        <v>175</v>
      </c>
      <c r="W706" s="6">
        <v>8</v>
      </c>
      <c r="X706" s="6" t="s">
        <v>44</v>
      </c>
      <c r="Y706" s="6" t="s">
        <v>73</v>
      </c>
      <c r="Z706" s="6" t="s">
        <v>37</v>
      </c>
      <c r="AA706" s="6" t="s">
        <v>74</v>
      </c>
      <c r="AB706" s="6" t="s">
        <v>37</v>
      </c>
      <c r="AC706" s="6" t="s">
        <v>69</v>
      </c>
      <c r="AD706" s="26" t="s">
        <v>77</v>
      </c>
      <c r="AE706" s="7" t="s">
        <v>40</v>
      </c>
      <c r="AF706" s="6">
        <v>325</v>
      </c>
      <c r="AG706" s="34">
        <v>28</v>
      </c>
      <c r="AH706" s="48" t="s">
        <v>171</v>
      </c>
    </row>
    <row r="707" ht="13.9" spans="1:34">
      <c r="A707" s="6">
        <v>6061</v>
      </c>
      <c r="B707" s="7">
        <v>0.56</v>
      </c>
      <c r="C707" s="6">
        <v>0.22</v>
      </c>
      <c r="D707" s="6">
        <v>0.24</v>
      </c>
      <c r="E707" s="6">
        <v>0.02</v>
      </c>
      <c r="F707" s="6">
        <v>1.01</v>
      </c>
      <c r="G707" s="6">
        <v>0.06</v>
      </c>
      <c r="H707" s="6">
        <v>0.01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8">
        <f t="shared" si="23"/>
        <v>97.88</v>
      </c>
      <c r="U707" s="7">
        <v>530</v>
      </c>
      <c r="V707" s="6">
        <v>100</v>
      </c>
      <c r="W707" s="6">
        <v>48</v>
      </c>
      <c r="X707" s="6" t="s">
        <v>44</v>
      </c>
      <c r="Y707" s="6" t="s">
        <v>73</v>
      </c>
      <c r="Z707" s="6" t="s">
        <v>37</v>
      </c>
      <c r="AA707" s="6" t="s">
        <v>74</v>
      </c>
      <c r="AB707" s="6" t="s">
        <v>37</v>
      </c>
      <c r="AC707" s="6" t="s">
        <v>51</v>
      </c>
      <c r="AD707" s="26" t="s">
        <v>77</v>
      </c>
      <c r="AE707" s="7">
        <v>198.1</v>
      </c>
      <c r="AF707" s="6">
        <v>287.7</v>
      </c>
      <c r="AG707" s="34">
        <v>41.6</v>
      </c>
      <c r="AH707" s="31" t="s">
        <v>172</v>
      </c>
    </row>
    <row r="708" ht="13.9" spans="1:34">
      <c r="A708" s="6">
        <v>6061</v>
      </c>
      <c r="B708" s="7">
        <v>0.56</v>
      </c>
      <c r="C708" s="6">
        <v>0.22</v>
      </c>
      <c r="D708" s="6">
        <v>0.24</v>
      </c>
      <c r="E708" s="6">
        <v>0.02</v>
      </c>
      <c r="F708" s="6">
        <v>1.01</v>
      </c>
      <c r="G708" s="6">
        <v>0.06</v>
      </c>
      <c r="H708" s="6">
        <v>0.01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8">
        <v>97.88</v>
      </c>
      <c r="U708" s="7">
        <v>530</v>
      </c>
      <c r="V708" s="6">
        <v>100</v>
      </c>
      <c r="W708" s="6">
        <v>48</v>
      </c>
      <c r="X708" s="6" t="s">
        <v>44</v>
      </c>
      <c r="Y708" s="6" t="s">
        <v>73</v>
      </c>
      <c r="Z708" s="6" t="s">
        <v>37</v>
      </c>
      <c r="AA708" s="6" t="s">
        <v>74</v>
      </c>
      <c r="AB708" s="6" t="s">
        <v>37</v>
      </c>
      <c r="AC708" s="6" t="s">
        <v>69</v>
      </c>
      <c r="AD708" s="26" t="s">
        <v>77</v>
      </c>
      <c r="AE708" s="7">
        <v>198.1</v>
      </c>
      <c r="AF708" s="6">
        <v>287.7</v>
      </c>
      <c r="AG708" s="34">
        <v>41.6</v>
      </c>
      <c r="AH708" s="31" t="s">
        <v>172</v>
      </c>
    </row>
    <row r="709" ht="13.9" spans="1:34">
      <c r="A709" s="6">
        <v>6061</v>
      </c>
      <c r="B709" s="7">
        <v>0.56</v>
      </c>
      <c r="C709" s="6">
        <v>0.22</v>
      </c>
      <c r="D709" s="6">
        <v>0.24</v>
      </c>
      <c r="E709" s="6">
        <v>0.02</v>
      </c>
      <c r="F709" s="6">
        <v>1.01</v>
      </c>
      <c r="G709" s="6">
        <v>0.06</v>
      </c>
      <c r="H709" s="6">
        <v>0.01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8">
        <v>97.88</v>
      </c>
      <c r="U709" s="7">
        <v>530</v>
      </c>
      <c r="V709" s="6">
        <v>100</v>
      </c>
      <c r="W709" s="6">
        <v>48</v>
      </c>
      <c r="X709" s="6" t="s">
        <v>44</v>
      </c>
      <c r="Y709" s="6" t="s">
        <v>73</v>
      </c>
      <c r="Z709" s="6" t="s">
        <v>37</v>
      </c>
      <c r="AA709" s="6" t="s">
        <v>74</v>
      </c>
      <c r="AB709" s="6" t="s">
        <v>37</v>
      </c>
      <c r="AC709" s="6" t="s">
        <v>45</v>
      </c>
      <c r="AD709" s="26" t="s">
        <v>77</v>
      </c>
      <c r="AE709" s="7">
        <v>198.1</v>
      </c>
      <c r="AF709" s="6">
        <v>287.7</v>
      </c>
      <c r="AG709" s="34">
        <v>41.6</v>
      </c>
      <c r="AH709" s="31" t="s">
        <v>172</v>
      </c>
    </row>
    <row r="710" ht="13.9" spans="1:34">
      <c r="A710" s="6">
        <v>6061</v>
      </c>
      <c r="B710" s="7">
        <v>0.56</v>
      </c>
      <c r="C710" s="6">
        <v>0.22</v>
      </c>
      <c r="D710" s="6">
        <v>0.24</v>
      </c>
      <c r="E710" s="6">
        <v>0.02</v>
      </c>
      <c r="F710" s="6">
        <v>1.01</v>
      </c>
      <c r="G710" s="6">
        <v>0.06</v>
      </c>
      <c r="H710" s="6">
        <v>0.01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8">
        <f>100-SUM(B710:S710)</f>
        <v>97.88</v>
      </c>
      <c r="U710" s="7">
        <v>530</v>
      </c>
      <c r="V710" s="6">
        <v>25</v>
      </c>
      <c r="W710" s="6">
        <v>0</v>
      </c>
      <c r="X710" s="6" t="s">
        <v>44</v>
      </c>
      <c r="Y710" s="6" t="s">
        <v>73</v>
      </c>
      <c r="Z710" s="6" t="s">
        <v>37</v>
      </c>
      <c r="AA710" s="6" t="s">
        <v>80</v>
      </c>
      <c r="AB710" s="6" t="s">
        <v>37</v>
      </c>
      <c r="AC710" s="6" t="s">
        <v>51</v>
      </c>
      <c r="AD710" s="26" t="s">
        <v>86</v>
      </c>
      <c r="AE710" s="7">
        <v>150.5</v>
      </c>
      <c r="AF710" s="6">
        <v>269.8</v>
      </c>
      <c r="AG710" s="34">
        <v>47.9</v>
      </c>
      <c r="AH710" s="31" t="s">
        <v>172</v>
      </c>
    </row>
    <row r="711" ht="13.9" spans="1:34">
      <c r="A711" s="6">
        <v>6061</v>
      </c>
      <c r="B711" s="7">
        <v>0.56</v>
      </c>
      <c r="C711" s="6">
        <v>0.22</v>
      </c>
      <c r="D711" s="6">
        <v>0.24</v>
      </c>
      <c r="E711" s="6">
        <v>0.02</v>
      </c>
      <c r="F711" s="6">
        <v>1.01</v>
      </c>
      <c r="G711" s="6">
        <v>0.06</v>
      </c>
      <c r="H711" s="6">
        <v>0.01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8">
        <v>97.88</v>
      </c>
      <c r="U711" s="7">
        <v>530</v>
      </c>
      <c r="V711" s="6">
        <v>25</v>
      </c>
      <c r="W711" s="6">
        <v>0</v>
      </c>
      <c r="X711" s="6" t="s">
        <v>44</v>
      </c>
      <c r="Y711" s="6" t="s">
        <v>73</v>
      </c>
      <c r="Z711" s="6" t="s">
        <v>37</v>
      </c>
      <c r="AA711" s="6" t="s">
        <v>80</v>
      </c>
      <c r="AB711" s="6" t="s">
        <v>37</v>
      </c>
      <c r="AC711" s="6" t="s">
        <v>69</v>
      </c>
      <c r="AD711" s="26" t="s">
        <v>86</v>
      </c>
      <c r="AE711" s="7">
        <v>150.5</v>
      </c>
      <c r="AF711" s="6">
        <v>269.8</v>
      </c>
      <c r="AG711" s="34">
        <v>47.9</v>
      </c>
      <c r="AH711" s="31" t="s">
        <v>172</v>
      </c>
    </row>
    <row r="712" ht="13.9" spans="1:34">
      <c r="A712" s="6">
        <v>6061</v>
      </c>
      <c r="B712" s="7">
        <v>0.56</v>
      </c>
      <c r="C712" s="6">
        <v>0.22</v>
      </c>
      <c r="D712" s="6">
        <v>0.24</v>
      </c>
      <c r="E712" s="6">
        <v>0.02</v>
      </c>
      <c r="F712" s="6">
        <v>1.01</v>
      </c>
      <c r="G712" s="6">
        <v>0.06</v>
      </c>
      <c r="H712" s="6">
        <v>0.01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8">
        <v>97.88</v>
      </c>
      <c r="U712" s="7">
        <v>530</v>
      </c>
      <c r="V712" s="6">
        <v>25</v>
      </c>
      <c r="W712" s="6">
        <v>0</v>
      </c>
      <c r="X712" s="6" t="s">
        <v>44</v>
      </c>
      <c r="Y712" s="6" t="s">
        <v>73</v>
      </c>
      <c r="Z712" s="6" t="s">
        <v>37</v>
      </c>
      <c r="AA712" s="6" t="s">
        <v>80</v>
      </c>
      <c r="AB712" s="6" t="s">
        <v>37</v>
      </c>
      <c r="AC712" s="6" t="s">
        <v>45</v>
      </c>
      <c r="AD712" s="26" t="s">
        <v>86</v>
      </c>
      <c r="AE712" s="7">
        <v>150.5</v>
      </c>
      <c r="AF712" s="6">
        <v>269.8</v>
      </c>
      <c r="AG712" s="34">
        <v>47.9</v>
      </c>
      <c r="AH712" s="31" t="s">
        <v>172</v>
      </c>
    </row>
    <row r="713" ht="13.9" spans="1:34">
      <c r="A713" s="6">
        <v>6061</v>
      </c>
      <c r="B713" s="7">
        <v>0.6</v>
      </c>
      <c r="C713" s="6">
        <v>0.7</v>
      </c>
      <c r="D713" s="6">
        <v>0.275</v>
      </c>
      <c r="E713" s="6">
        <v>0.15</v>
      </c>
      <c r="F713" s="6">
        <v>1</v>
      </c>
      <c r="G713" s="6">
        <v>0.195</v>
      </c>
      <c r="H713" s="6">
        <v>0.25</v>
      </c>
      <c r="I713" s="6">
        <v>0</v>
      </c>
      <c r="J713" s="6">
        <v>0.15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8">
        <f t="shared" ref="T713:T721" si="24">100-SUM(B713:S713)</f>
        <v>96.68</v>
      </c>
      <c r="U713" s="7">
        <v>530</v>
      </c>
      <c r="V713" s="6">
        <v>25</v>
      </c>
      <c r="W713" s="6">
        <v>0</v>
      </c>
      <c r="X713" s="6" t="s">
        <v>42</v>
      </c>
      <c r="Y713" s="6" t="s">
        <v>73</v>
      </c>
      <c r="Z713" s="6" t="s">
        <v>37</v>
      </c>
      <c r="AA713" s="6" t="s">
        <v>80</v>
      </c>
      <c r="AB713" s="6" t="s">
        <v>37</v>
      </c>
      <c r="AC713" s="6" t="s">
        <v>59</v>
      </c>
      <c r="AD713" s="26" t="s">
        <v>86</v>
      </c>
      <c r="AE713" s="7">
        <v>156</v>
      </c>
      <c r="AF713" s="6">
        <v>275</v>
      </c>
      <c r="AG713" s="34">
        <v>49.9</v>
      </c>
      <c r="AH713" s="48" t="s">
        <v>173</v>
      </c>
    </row>
    <row r="714" ht="13.9" spans="1:34">
      <c r="A714" s="6">
        <v>6061</v>
      </c>
      <c r="B714" s="7">
        <v>0.71</v>
      </c>
      <c r="C714" s="6">
        <v>0.16</v>
      </c>
      <c r="D714" s="6">
        <v>0.19</v>
      </c>
      <c r="E714" s="6">
        <v>0.02</v>
      </c>
      <c r="F714" s="6">
        <v>0.94</v>
      </c>
      <c r="G714" s="6">
        <v>0.08</v>
      </c>
      <c r="H714" s="6">
        <v>0.04</v>
      </c>
      <c r="I714" s="6">
        <v>0</v>
      </c>
      <c r="J714" s="6">
        <v>0.03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8">
        <f t="shared" si="24"/>
        <v>97.83</v>
      </c>
      <c r="U714" s="7">
        <v>25</v>
      </c>
      <c r="V714" s="6">
        <v>25</v>
      </c>
      <c r="W714" s="6">
        <v>0</v>
      </c>
      <c r="X714" s="6" t="s">
        <v>42</v>
      </c>
      <c r="Y714" s="6" t="s">
        <v>35</v>
      </c>
      <c r="Z714" s="6" t="s">
        <v>37</v>
      </c>
      <c r="AA714" s="6" t="s">
        <v>37</v>
      </c>
      <c r="AB714" s="6" t="s">
        <v>37</v>
      </c>
      <c r="AC714" s="6" t="s">
        <v>43</v>
      </c>
      <c r="AD714" s="26" t="s">
        <v>52</v>
      </c>
      <c r="AE714" s="7" t="s">
        <v>40</v>
      </c>
      <c r="AF714" s="6">
        <v>125</v>
      </c>
      <c r="AG714" s="10">
        <v>32</v>
      </c>
      <c r="AH714" s="48" t="s">
        <v>174</v>
      </c>
    </row>
    <row r="715" ht="13.9" spans="1:34">
      <c r="A715" s="6">
        <v>6061</v>
      </c>
      <c r="B715" s="7">
        <v>0.8</v>
      </c>
      <c r="C715" s="6">
        <v>0.456</v>
      </c>
      <c r="D715" s="6">
        <v>0.321</v>
      </c>
      <c r="E715" s="6">
        <v>0.212</v>
      </c>
      <c r="F715" s="6">
        <v>0.91</v>
      </c>
      <c r="G715" s="6">
        <v>0.021</v>
      </c>
      <c r="H715" s="6">
        <v>0.178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8">
        <f t="shared" si="24"/>
        <v>97.102</v>
      </c>
      <c r="U715" s="7">
        <v>500</v>
      </c>
      <c r="V715" s="6">
        <v>200</v>
      </c>
      <c r="W715" s="6">
        <v>18</v>
      </c>
      <c r="X715" s="6" t="s">
        <v>42</v>
      </c>
      <c r="Y715" s="6" t="s">
        <v>73</v>
      </c>
      <c r="Z715" s="6" t="s">
        <v>37</v>
      </c>
      <c r="AA715" s="6" t="s">
        <v>74</v>
      </c>
      <c r="AB715" s="6" t="s">
        <v>37</v>
      </c>
      <c r="AC715" s="6" t="s">
        <v>69</v>
      </c>
      <c r="AD715" s="26" t="s">
        <v>77</v>
      </c>
      <c r="AE715" s="7">
        <v>270</v>
      </c>
      <c r="AF715" s="6">
        <v>320</v>
      </c>
      <c r="AG715" s="34">
        <v>13</v>
      </c>
      <c r="AH715" s="48" t="s">
        <v>175</v>
      </c>
    </row>
    <row r="716" ht="13.9" spans="1:34">
      <c r="A716" s="6">
        <v>6061</v>
      </c>
      <c r="B716" s="7">
        <v>0.8</v>
      </c>
      <c r="C716" s="6">
        <v>0.456</v>
      </c>
      <c r="D716" s="6">
        <v>0.321</v>
      </c>
      <c r="E716" s="6">
        <v>0.212</v>
      </c>
      <c r="F716" s="6">
        <v>0.91</v>
      </c>
      <c r="G716" s="6">
        <v>0.021</v>
      </c>
      <c r="H716" s="6">
        <v>0.178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8">
        <f t="shared" si="24"/>
        <v>97.102</v>
      </c>
      <c r="U716" s="7">
        <v>500</v>
      </c>
      <c r="V716" s="6">
        <v>200</v>
      </c>
      <c r="W716" s="6">
        <v>48</v>
      </c>
      <c r="X716" s="6" t="s">
        <v>42</v>
      </c>
      <c r="Y716" s="6" t="s">
        <v>73</v>
      </c>
      <c r="Z716" s="6" t="s">
        <v>37</v>
      </c>
      <c r="AA716" s="6" t="s">
        <v>74</v>
      </c>
      <c r="AB716" s="6" t="s">
        <v>37</v>
      </c>
      <c r="AC716" s="6" t="s">
        <v>69</v>
      </c>
      <c r="AD716" s="26" t="s">
        <v>77</v>
      </c>
      <c r="AE716" s="7">
        <v>260</v>
      </c>
      <c r="AF716" s="6">
        <v>310</v>
      </c>
      <c r="AG716" s="34">
        <v>14</v>
      </c>
      <c r="AH716" s="48" t="s">
        <v>175</v>
      </c>
    </row>
    <row r="717" ht="13.9" spans="1:34">
      <c r="A717" s="6">
        <v>6061</v>
      </c>
      <c r="B717" s="7">
        <v>0.8</v>
      </c>
      <c r="C717" s="6">
        <v>0.456</v>
      </c>
      <c r="D717" s="6">
        <v>0.321</v>
      </c>
      <c r="E717" s="6">
        <v>0.212</v>
      </c>
      <c r="F717" s="6">
        <v>0.91</v>
      </c>
      <c r="G717" s="6">
        <v>0.021</v>
      </c>
      <c r="H717" s="6">
        <v>0.178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8">
        <f t="shared" si="24"/>
        <v>97.102</v>
      </c>
      <c r="U717" s="7">
        <v>500</v>
      </c>
      <c r="V717" s="6">
        <v>200</v>
      </c>
      <c r="W717" s="6">
        <v>1.5</v>
      </c>
      <c r="X717" s="6" t="s">
        <v>42</v>
      </c>
      <c r="Y717" s="6" t="s">
        <v>73</v>
      </c>
      <c r="Z717" s="6" t="s">
        <v>37</v>
      </c>
      <c r="AA717" s="6" t="s">
        <v>74</v>
      </c>
      <c r="AB717" s="6" t="s">
        <v>37</v>
      </c>
      <c r="AC717" s="6" t="s">
        <v>69</v>
      </c>
      <c r="AD717" s="26" t="s">
        <v>77</v>
      </c>
      <c r="AE717" s="7">
        <v>245</v>
      </c>
      <c r="AF717" s="6">
        <v>290</v>
      </c>
      <c r="AG717" s="34">
        <v>15</v>
      </c>
      <c r="AH717" s="48" t="s">
        <v>175</v>
      </c>
    </row>
    <row r="718" ht="13.9" spans="1:34">
      <c r="A718" s="6">
        <v>6061</v>
      </c>
      <c r="B718" s="7">
        <v>0.8</v>
      </c>
      <c r="C718" s="6">
        <v>0.456</v>
      </c>
      <c r="D718" s="6">
        <v>0.321</v>
      </c>
      <c r="E718" s="6">
        <v>0.212</v>
      </c>
      <c r="F718" s="6">
        <v>0.91</v>
      </c>
      <c r="G718" s="6">
        <v>0.021</v>
      </c>
      <c r="H718" s="6">
        <v>0.178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8">
        <f t="shared" si="24"/>
        <v>97.102</v>
      </c>
      <c r="U718" s="7">
        <v>500</v>
      </c>
      <c r="V718" s="6">
        <v>200</v>
      </c>
      <c r="W718" s="6">
        <v>0.5</v>
      </c>
      <c r="X718" s="6" t="s">
        <v>42</v>
      </c>
      <c r="Y718" s="6" t="s">
        <v>73</v>
      </c>
      <c r="Z718" s="6" t="s">
        <v>37</v>
      </c>
      <c r="AA718" s="6" t="s">
        <v>74</v>
      </c>
      <c r="AB718" s="6" t="s">
        <v>37</v>
      </c>
      <c r="AC718" s="6" t="s">
        <v>69</v>
      </c>
      <c r="AD718" s="26" t="s">
        <v>77</v>
      </c>
      <c r="AE718" s="7">
        <v>178</v>
      </c>
      <c r="AF718" s="6">
        <v>270</v>
      </c>
      <c r="AG718" s="34">
        <v>18</v>
      </c>
      <c r="AH718" s="48" t="s">
        <v>175</v>
      </c>
    </row>
    <row r="719" ht="13.9" spans="1:34">
      <c r="A719" s="6">
        <v>6061</v>
      </c>
      <c r="B719" s="7">
        <v>0.8</v>
      </c>
      <c r="C719" s="6">
        <v>0.456</v>
      </c>
      <c r="D719" s="6">
        <v>0.321</v>
      </c>
      <c r="E719" s="6">
        <v>0.212</v>
      </c>
      <c r="F719" s="6">
        <v>0.91</v>
      </c>
      <c r="G719" s="6">
        <v>0.021</v>
      </c>
      <c r="H719" s="6">
        <v>0.178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8">
        <f t="shared" si="24"/>
        <v>97.102</v>
      </c>
      <c r="U719" s="7">
        <v>500</v>
      </c>
      <c r="V719" s="6">
        <v>200</v>
      </c>
      <c r="W719" s="6">
        <v>0.25</v>
      </c>
      <c r="X719" s="6" t="s">
        <v>42</v>
      </c>
      <c r="Y719" s="6" t="s">
        <v>73</v>
      </c>
      <c r="Z719" s="6" t="s">
        <v>37</v>
      </c>
      <c r="AA719" s="6" t="s">
        <v>74</v>
      </c>
      <c r="AB719" s="6" t="s">
        <v>37</v>
      </c>
      <c r="AC719" s="6" t="s">
        <v>69</v>
      </c>
      <c r="AD719" s="26" t="s">
        <v>77</v>
      </c>
      <c r="AE719" s="7">
        <v>125</v>
      </c>
      <c r="AF719" s="6">
        <v>260</v>
      </c>
      <c r="AG719" s="34">
        <v>22</v>
      </c>
      <c r="AH719" s="48" t="s">
        <v>175</v>
      </c>
    </row>
    <row r="720" ht="13.9" spans="1:34">
      <c r="A720" s="6">
        <v>6061</v>
      </c>
      <c r="B720" s="7">
        <v>0.43</v>
      </c>
      <c r="C720" s="6">
        <v>0.31</v>
      </c>
      <c r="D720" s="6">
        <v>0.31</v>
      </c>
      <c r="E720" s="6">
        <v>0.05</v>
      </c>
      <c r="F720" s="6">
        <v>0.94</v>
      </c>
      <c r="G720" s="6">
        <v>0.13</v>
      </c>
      <c r="H720" s="6">
        <v>0.2</v>
      </c>
      <c r="I720" s="6">
        <v>0</v>
      </c>
      <c r="J720" s="6">
        <v>0.03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8">
        <f t="shared" si="24"/>
        <v>97.6</v>
      </c>
      <c r="U720" s="7">
        <v>520</v>
      </c>
      <c r="V720" s="6">
        <v>165</v>
      </c>
      <c r="W720" s="6">
        <v>20</v>
      </c>
      <c r="X720" s="6" t="s">
        <v>44</v>
      </c>
      <c r="Y720" s="6" t="s">
        <v>73</v>
      </c>
      <c r="Z720" s="6" t="s">
        <v>37</v>
      </c>
      <c r="AA720" s="6" t="s">
        <v>74</v>
      </c>
      <c r="AB720" s="6" t="s">
        <v>37</v>
      </c>
      <c r="AC720" s="6" t="s">
        <v>51</v>
      </c>
      <c r="AD720" s="26" t="s">
        <v>77</v>
      </c>
      <c r="AE720" s="7" t="s">
        <v>40</v>
      </c>
      <c r="AF720" s="6">
        <v>323</v>
      </c>
      <c r="AG720" s="34">
        <v>17.3</v>
      </c>
      <c r="AH720" s="48" t="s">
        <v>176</v>
      </c>
    </row>
    <row r="721" ht="13.9" spans="1:34">
      <c r="A721" s="6">
        <v>6061</v>
      </c>
      <c r="B721" s="7">
        <v>0.84</v>
      </c>
      <c r="C721" s="6">
        <v>0.37</v>
      </c>
      <c r="D721" s="6">
        <v>0.32</v>
      </c>
      <c r="E721" s="6">
        <v>0.18</v>
      </c>
      <c r="F721" s="6">
        <v>0.6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8">
        <f t="shared" si="24"/>
        <v>97.69</v>
      </c>
      <c r="U721" s="7">
        <v>517</v>
      </c>
      <c r="V721" s="6">
        <v>152</v>
      </c>
      <c r="W721" s="6">
        <v>12</v>
      </c>
      <c r="X721" s="6" t="s">
        <v>44</v>
      </c>
      <c r="Y721" s="6" t="s">
        <v>73</v>
      </c>
      <c r="Z721" s="6" t="s">
        <v>37</v>
      </c>
      <c r="AA721" s="6" t="s">
        <v>74</v>
      </c>
      <c r="AB721" s="6" t="s">
        <v>37</v>
      </c>
      <c r="AC721" s="6" t="s">
        <v>51</v>
      </c>
      <c r="AD721" s="26" t="s">
        <v>77</v>
      </c>
      <c r="AE721" s="7">
        <v>257</v>
      </c>
      <c r="AF721" s="6">
        <v>315</v>
      </c>
      <c r="AG721" s="34">
        <v>17</v>
      </c>
      <c r="AH721" s="48" t="s">
        <v>177</v>
      </c>
    </row>
    <row r="722" ht="13.9" spans="1:34">
      <c r="A722" s="6">
        <v>6061</v>
      </c>
      <c r="B722" s="7">
        <v>0.84</v>
      </c>
      <c r="C722" s="6">
        <v>0.37</v>
      </c>
      <c r="D722" s="6">
        <v>0.32</v>
      </c>
      <c r="E722" s="6">
        <v>0.18</v>
      </c>
      <c r="F722" s="6">
        <v>0.6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8">
        <v>97.69</v>
      </c>
      <c r="U722" s="7">
        <v>517</v>
      </c>
      <c r="V722" s="6">
        <v>152</v>
      </c>
      <c r="W722" s="6">
        <v>12</v>
      </c>
      <c r="X722" s="6" t="s">
        <v>44</v>
      </c>
      <c r="Y722" s="6" t="s">
        <v>73</v>
      </c>
      <c r="Z722" s="6" t="s">
        <v>37</v>
      </c>
      <c r="AA722" s="6" t="s">
        <v>74</v>
      </c>
      <c r="AB722" s="6" t="s">
        <v>37</v>
      </c>
      <c r="AC722" s="6" t="s">
        <v>69</v>
      </c>
      <c r="AD722" s="26" t="s">
        <v>77</v>
      </c>
      <c r="AE722" s="7">
        <v>257</v>
      </c>
      <c r="AF722" s="6">
        <v>315</v>
      </c>
      <c r="AG722" s="34">
        <v>17</v>
      </c>
      <c r="AH722" s="48" t="s">
        <v>177</v>
      </c>
    </row>
    <row r="723" ht="13.9" spans="1:34">
      <c r="A723" s="6">
        <v>6061</v>
      </c>
      <c r="B723" s="7">
        <v>0.84</v>
      </c>
      <c r="C723" s="6">
        <v>0.37</v>
      </c>
      <c r="D723" s="6">
        <v>0.32</v>
      </c>
      <c r="E723" s="6">
        <v>0.18</v>
      </c>
      <c r="F723" s="6">
        <v>0.6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8">
        <v>97.69</v>
      </c>
      <c r="U723" s="7">
        <v>517</v>
      </c>
      <c r="V723" s="6">
        <v>152</v>
      </c>
      <c r="W723" s="6">
        <v>12</v>
      </c>
      <c r="X723" s="6" t="s">
        <v>44</v>
      </c>
      <c r="Y723" s="6" t="s">
        <v>73</v>
      </c>
      <c r="Z723" s="6" t="s">
        <v>37</v>
      </c>
      <c r="AA723" s="6" t="s">
        <v>74</v>
      </c>
      <c r="AB723" s="6" t="s">
        <v>37</v>
      </c>
      <c r="AC723" s="6" t="s">
        <v>45</v>
      </c>
      <c r="AD723" s="26" t="s">
        <v>77</v>
      </c>
      <c r="AE723" s="7">
        <v>257</v>
      </c>
      <c r="AF723" s="6">
        <v>315</v>
      </c>
      <c r="AG723" s="34">
        <v>17</v>
      </c>
      <c r="AH723" s="48" t="s">
        <v>177</v>
      </c>
    </row>
    <row r="724" ht="13.9" spans="1:34">
      <c r="A724" s="6">
        <v>6061</v>
      </c>
      <c r="B724" s="7">
        <v>0.55</v>
      </c>
      <c r="C724" s="6">
        <v>0.47</v>
      </c>
      <c r="D724" s="6">
        <v>0.28</v>
      </c>
      <c r="E724" s="6">
        <v>0</v>
      </c>
      <c r="F724" s="6">
        <v>0.98</v>
      </c>
      <c r="G724" s="6">
        <v>0.19</v>
      </c>
      <c r="H724" s="6">
        <v>0.19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8">
        <f t="shared" ref="T724:T755" si="25">100-SUM(B724:S724)</f>
        <v>97.34</v>
      </c>
      <c r="U724" s="7">
        <v>490</v>
      </c>
      <c r="V724" s="6">
        <v>180</v>
      </c>
      <c r="W724" s="6">
        <v>6</v>
      </c>
      <c r="X724" s="6" t="s">
        <v>42</v>
      </c>
      <c r="Y724" s="6" t="s">
        <v>73</v>
      </c>
      <c r="Z724" s="6" t="s">
        <v>37</v>
      </c>
      <c r="AA724" s="6" t="s">
        <v>74</v>
      </c>
      <c r="AB724" s="6" t="s">
        <v>37</v>
      </c>
      <c r="AC724" s="6" t="s">
        <v>59</v>
      </c>
      <c r="AD724" s="26" t="s">
        <v>77</v>
      </c>
      <c r="AE724" s="7">
        <v>240</v>
      </c>
      <c r="AF724" s="6">
        <v>360</v>
      </c>
      <c r="AG724" s="34">
        <v>11.3</v>
      </c>
      <c r="AH724" s="48" t="s">
        <v>178</v>
      </c>
    </row>
    <row r="725" ht="13.9" spans="1:34">
      <c r="A725" s="6">
        <v>6061</v>
      </c>
      <c r="B725" s="7">
        <v>0.55</v>
      </c>
      <c r="C725" s="6">
        <v>0.47</v>
      </c>
      <c r="D725" s="6">
        <v>0.28</v>
      </c>
      <c r="E725" s="6">
        <v>0</v>
      </c>
      <c r="F725" s="6">
        <v>0.98</v>
      </c>
      <c r="G725" s="6">
        <v>0.19</v>
      </c>
      <c r="H725" s="6">
        <v>0.19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8">
        <f t="shared" si="25"/>
        <v>97.34</v>
      </c>
      <c r="U725" s="7">
        <v>570</v>
      </c>
      <c r="V725" s="6">
        <v>180</v>
      </c>
      <c r="W725" s="6">
        <v>6</v>
      </c>
      <c r="X725" s="6" t="s">
        <v>42</v>
      </c>
      <c r="Y725" s="6" t="s">
        <v>73</v>
      </c>
      <c r="Z725" s="6" t="s">
        <v>37</v>
      </c>
      <c r="AA725" s="6" t="s">
        <v>74</v>
      </c>
      <c r="AB725" s="6" t="s">
        <v>37</v>
      </c>
      <c r="AC725" s="6" t="s">
        <v>59</v>
      </c>
      <c r="AD725" s="26" t="s">
        <v>77</v>
      </c>
      <c r="AE725" s="7">
        <v>235</v>
      </c>
      <c r="AF725" s="6">
        <v>350</v>
      </c>
      <c r="AG725" s="34">
        <v>10.5</v>
      </c>
      <c r="AH725" s="48" t="s">
        <v>178</v>
      </c>
    </row>
    <row r="726" s="3" customFormat="1" ht="13.9" spans="1:34">
      <c r="A726" s="3">
        <v>6061</v>
      </c>
      <c r="B726" s="16">
        <v>0.55</v>
      </c>
      <c r="C726" s="3">
        <v>0.47</v>
      </c>
      <c r="D726" s="3">
        <v>0.28</v>
      </c>
      <c r="E726" s="3">
        <v>0</v>
      </c>
      <c r="F726" s="3">
        <v>0.98</v>
      </c>
      <c r="G726" s="3">
        <v>0.19</v>
      </c>
      <c r="H726" s="3">
        <v>0.19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22">
        <f t="shared" si="25"/>
        <v>97.34</v>
      </c>
      <c r="U726" s="16">
        <v>530</v>
      </c>
      <c r="V726" s="3">
        <v>180</v>
      </c>
      <c r="W726" s="3">
        <v>6</v>
      </c>
      <c r="X726" s="3" t="s">
        <v>42</v>
      </c>
      <c r="Y726" s="3" t="s">
        <v>73</v>
      </c>
      <c r="Z726" s="3" t="s">
        <v>37</v>
      </c>
      <c r="AA726" s="3" t="s">
        <v>74</v>
      </c>
      <c r="AB726" s="3" t="s">
        <v>37</v>
      </c>
      <c r="AC726" s="3" t="s">
        <v>59</v>
      </c>
      <c r="AD726" s="27" t="s">
        <v>77</v>
      </c>
      <c r="AE726" s="16">
        <v>248</v>
      </c>
      <c r="AF726" s="3">
        <v>345</v>
      </c>
      <c r="AG726" s="38">
        <v>11.8</v>
      </c>
      <c r="AH726" s="49" t="s">
        <v>178</v>
      </c>
    </row>
    <row r="727" ht="13.9" spans="1:34">
      <c r="A727" s="6">
        <v>6063</v>
      </c>
      <c r="B727" s="7">
        <v>0.4</v>
      </c>
      <c r="C727" s="6">
        <v>0.35</v>
      </c>
      <c r="D727" s="6">
        <v>0.1</v>
      </c>
      <c r="E727" s="6">
        <v>0.1</v>
      </c>
      <c r="F727" s="6">
        <v>0.675</v>
      </c>
      <c r="G727" s="6">
        <v>0.1</v>
      </c>
      <c r="H727" s="6">
        <v>0.1</v>
      </c>
      <c r="I727" s="6">
        <v>0</v>
      </c>
      <c r="J727" s="6">
        <v>0.1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8">
        <f t="shared" si="25"/>
        <v>98.075</v>
      </c>
      <c r="U727" s="7">
        <v>520</v>
      </c>
      <c r="V727" s="6">
        <v>175</v>
      </c>
      <c r="W727" s="6">
        <v>8</v>
      </c>
      <c r="X727" s="6" t="s">
        <v>53</v>
      </c>
      <c r="Y727" s="6" t="s">
        <v>73</v>
      </c>
      <c r="Z727" s="6" t="s">
        <v>79</v>
      </c>
      <c r="AA727" s="6" t="s">
        <v>74</v>
      </c>
      <c r="AB727" s="6" t="s">
        <v>37</v>
      </c>
      <c r="AC727" s="6" t="s">
        <v>53</v>
      </c>
      <c r="AD727" s="26" t="s">
        <v>83</v>
      </c>
      <c r="AE727" s="7">
        <v>241</v>
      </c>
      <c r="AF727" s="6">
        <v>255</v>
      </c>
      <c r="AG727" s="10">
        <v>9</v>
      </c>
      <c r="AH727" s="31" t="s">
        <v>54</v>
      </c>
    </row>
    <row r="728" ht="13.9" spans="1:34">
      <c r="A728" s="6">
        <v>6063</v>
      </c>
      <c r="B728" s="7">
        <v>0.4</v>
      </c>
      <c r="C728" s="6">
        <v>0.35</v>
      </c>
      <c r="D728" s="6">
        <v>0.1</v>
      </c>
      <c r="E728" s="6">
        <v>0.1</v>
      </c>
      <c r="F728" s="6">
        <v>0.675</v>
      </c>
      <c r="G728" s="6">
        <v>0.1</v>
      </c>
      <c r="H728" s="6">
        <v>0.1</v>
      </c>
      <c r="I728" s="6">
        <v>0</v>
      </c>
      <c r="J728" s="6">
        <v>0.1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8">
        <f t="shared" si="25"/>
        <v>98.075</v>
      </c>
      <c r="U728" s="7">
        <v>520</v>
      </c>
      <c r="V728" s="6">
        <v>175</v>
      </c>
      <c r="W728" s="6">
        <v>8</v>
      </c>
      <c r="X728" s="6" t="s">
        <v>53</v>
      </c>
      <c r="Y728" s="6" t="s">
        <v>73</v>
      </c>
      <c r="Z728" s="6" t="s">
        <v>37</v>
      </c>
      <c r="AA728" s="6" t="s">
        <v>74</v>
      </c>
      <c r="AB728" s="6" t="s">
        <v>37</v>
      </c>
      <c r="AC728" s="6" t="s">
        <v>53</v>
      </c>
      <c r="AD728" s="26" t="s">
        <v>77</v>
      </c>
      <c r="AE728" s="7">
        <v>214</v>
      </c>
      <c r="AF728" s="6">
        <v>241</v>
      </c>
      <c r="AG728" s="5">
        <v>17</v>
      </c>
      <c r="AH728" s="31" t="s">
        <v>54</v>
      </c>
    </row>
    <row r="729" ht="13.9" spans="1:34">
      <c r="A729" s="6">
        <v>6063</v>
      </c>
      <c r="B729" s="7">
        <v>0.4</v>
      </c>
      <c r="C729" s="6">
        <v>0.35</v>
      </c>
      <c r="D729" s="6">
        <v>0.1</v>
      </c>
      <c r="E729" s="6">
        <v>0.1</v>
      </c>
      <c r="F729" s="6">
        <v>0.675</v>
      </c>
      <c r="G729" s="6">
        <v>0.1</v>
      </c>
      <c r="H729" s="6">
        <v>0.1</v>
      </c>
      <c r="I729" s="6">
        <v>0</v>
      </c>
      <c r="J729" s="6">
        <v>0.1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8">
        <f t="shared" si="25"/>
        <v>98.075</v>
      </c>
      <c r="U729" s="7">
        <v>25</v>
      </c>
      <c r="V729" s="6">
        <v>205</v>
      </c>
      <c r="W729" s="6">
        <v>1</v>
      </c>
      <c r="X729" s="6" t="s">
        <v>53</v>
      </c>
      <c r="Y729" s="6" t="s">
        <v>35</v>
      </c>
      <c r="Z729" s="6" t="s">
        <v>37</v>
      </c>
      <c r="AA729" s="6" t="s">
        <v>74</v>
      </c>
      <c r="AB729" s="6" t="s">
        <v>37</v>
      </c>
      <c r="AC729" s="6" t="s">
        <v>53</v>
      </c>
      <c r="AD729" s="26" t="s">
        <v>164</v>
      </c>
      <c r="AE729" s="7">
        <v>145</v>
      </c>
      <c r="AF729" s="6">
        <v>186</v>
      </c>
      <c r="AG729" s="5">
        <v>15</v>
      </c>
      <c r="AH729" s="31" t="s">
        <v>54</v>
      </c>
    </row>
    <row r="730" ht="13.9" spans="1:34">
      <c r="A730" s="6">
        <v>6063</v>
      </c>
      <c r="B730" s="7">
        <v>0.4</v>
      </c>
      <c r="C730" s="6">
        <v>0.35</v>
      </c>
      <c r="D730" s="6">
        <v>0.1</v>
      </c>
      <c r="E730" s="6">
        <v>0.1</v>
      </c>
      <c r="F730" s="6">
        <v>0.675</v>
      </c>
      <c r="G730" s="6">
        <v>0.1</v>
      </c>
      <c r="H730" s="6">
        <v>0.1</v>
      </c>
      <c r="I730" s="6">
        <v>0</v>
      </c>
      <c r="J730" s="6">
        <v>0.1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8">
        <f t="shared" si="25"/>
        <v>98.075</v>
      </c>
      <c r="U730" s="7">
        <v>520</v>
      </c>
      <c r="V730" s="6">
        <v>25</v>
      </c>
      <c r="W730" s="6">
        <v>0</v>
      </c>
      <c r="X730" s="6" t="s">
        <v>53</v>
      </c>
      <c r="Y730" s="6" t="s">
        <v>73</v>
      </c>
      <c r="Z730" s="6" t="s">
        <v>37</v>
      </c>
      <c r="AA730" s="6" t="s">
        <v>80</v>
      </c>
      <c r="AB730" s="6" t="s">
        <v>37</v>
      </c>
      <c r="AC730" s="6" t="s">
        <v>53</v>
      </c>
      <c r="AD730" s="26" t="s">
        <v>86</v>
      </c>
      <c r="AE730" s="7">
        <v>90</v>
      </c>
      <c r="AF730" s="6">
        <v>172</v>
      </c>
      <c r="AG730" s="10">
        <v>22</v>
      </c>
      <c r="AH730" s="31" t="s">
        <v>54</v>
      </c>
    </row>
    <row r="731" ht="13.9" spans="1:34">
      <c r="A731" s="6">
        <v>6063</v>
      </c>
      <c r="B731" s="7">
        <v>0.4</v>
      </c>
      <c r="C731" s="6">
        <v>0.35</v>
      </c>
      <c r="D731" s="6">
        <v>0.1</v>
      </c>
      <c r="E731" s="6">
        <v>0.1</v>
      </c>
      <c r="F731" s="6">
        <v>0.675</v>
      </c>
      <c r="G731" s="6">
        <v>0.1</v>
      </c>
      <c r="H731" s="6">
        <v>0.1</v>
      </c>
      <c r="I731" s="6">
        <v>0</v>
      </c>
      <c r="J731" s="6">
        <v>0.1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8">
        <f t="shared" si="25"/>
        <v>98.075</v>
      </c>
      <c r="U731" s="7">
        <v>25</v>
      </c>
      <c r="V731" s="6">
        <v>25</v>
      </c>
      <c r="W731" s="6">
        <v>0</v>
      </c>
      <c r="X731" s="6" t="s">
        <v>53</v>
      </c>
      <c r="Y731" s="6" t="s">
        <v>35</v>
      </c>
      <c r="Z731" s="6" t="s">
        <v>37</v>
      </c>
      <c r="AA731" s="6" t="s">
        <v>80</v>
      </c>
      <c r="AB731" s="6" t="s">
        <v>37</v>
      </c>
      <c r="AC731" s="6" t="s">
        <v>53</v>
      </c>
      <c r="AD731" s="26" t="s">
        <v>75</v>
      </c>
      <c r="AE731" s="7">
        <v>90</v>
      </c>
      <c r="AF731" s="6">
        <v>152</v>
      </c>
      <c r="AG731" s="5">
        <v>26.5</v>
      </c>
      <c r="AH731" s="31" t="s">
        <v>54</v>
      </c>
    </row>
    <row r="732" s="3" customFormat="1" ht="13.9" spans="1:34">
      <c r="A732" s="3">
        <v>6063</v>
      </c>
      <c r="B732" s="16">
        <v>0.4</v>
      </c>
      <c r="C732" s="3">
        <v>0.35</v>
      </c>
      <c r="D732" s="3">
        <v>0.1</v>
      </c>
      <c r="E732" s="3">
        <v>0.1</v>
      </c>
      <c r="F732" s="3">
        <v>0.675</v>
      </c>
      <c r="G732" s="3">
        <v>0.1</v>
      </c>
      <c r="H732" s="3">
        <v>0.1</v>
      </c>
      <c r="I732" s="3">
        <v>0</v>
      </c>
      <c r="J732" s="3">
        <v>0.1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22">
        <f t="shared" si="25"/>
        <v>98.075</v>
      </c>
      <c r="U732" s="16">
        <v>415</v>
      </c>
      <c r="V732" s="3">
        <v>25</v>
      </c>
      <c r="W732" s="3">
        <v>0</v>
      </c>
      <c r="X732" s="3" t="s">
        <v>53</v>
      </c>
      <c r="Y732" s="3" t="s">
        <v>50</v>
      </c>
      <c r="Z732" s="3" t="s">
        <v>37</v>
      </c>
      <c r="AA732" s="3" t="s">
        <v>37</v>
      </c>
      <c r="AB732" s="3" t="s">
        <v>37</v>
      </c>
      <c r="AC732" s="3" t="s">
        <v>53</v>
      </c>
      <c r="AD732" s="27" t="s">
        <v>57</v>
      </c>
      <c r="AE732" s="16">
        <v>48</v>
      </c>
      <c r="AF732" s="3">
        <v>90</v>
      </c>
      <c r="AG732" s="32" t="s">
        <v>40</v>
      </c>
      <c r="AH732" s="33" t="s">
        <v>54</v>
      </c>
    </row>
    <row r="733" ht="13.9" spans="1:34">
      <c r="A733" s="6">
        <v>6066</v>
      </c>
      <c r="B733" s="7">
        <v>1.35</v>
      </c>
      <c r="C733" s="6">
        <v>0.5</v>
      </c>
      <c r="D733" s="6">
        <v>0.95</v>
      </c>
      <c r="E733" s="6">
        <v>0.85</v>
      </c>
      <c r="F733" s="6">
        <v>1.1</v>
      </c>
      <c r="G733" s="6">
        <v>0.4</v>
      </c>
      <c r="H733" s="6">
        <v>0.25</v>
      </c>
      <c r="I733" s="6">
        <v>0</v>
      </c>
      <c r="J733" s="6">
        <v>0.2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8">
        <f t="shared" si="25"/>
        <v>94.4</v>
      </c>
      <c r="U733" s="7">
        <v>530</v>
      </c>
      <c r="V733" s="6">
        <v>175</v>
      </c>
      <c r="W733" s="6">
        <v>8</v>
      </c>
      <c r="X733" s="6" t="s">
        <v>53</v>
      </c>
      <c r="Y733" s="6" t="s">
        <v>73</v>
      </c>
      <c r="Z733" s="6" t="s">
        <v>84</v>
      </c>
      <c r="AA733" s="6" t="s">
        <v>74</v>
      </c>
      <c r="AB733" s="6" t="s">
        <v>37</v>
      </c>
      <c r="AC733" s="6" t="s">
        <v>53</v>
      </c>
      <c r="AD733" s="26" t="s">
        <v>90</v>
      </c>
      <c r="AE733" s="7">
        <v>359</v>
      </c>
      <c r="AF733" s="6">
        <v>395</v>
      </c>
      <c r="AG733" s="10">
        <v>12</v>
      </c>
      <c r="AH733" s="31" t="s">
        <v>54</v>
      </c>
    </row>
    <row r="734" ht="13.9" spans="1:34">
      <c r="A734" s="6">
        <v>6066</v>
      </c>
      <c r="B734" s="7">
        <v>1.35</v>
      </c>
      <c r="C734" s="6">
        <v>0.5</v>
      </c>
      <c r="D734" s="6">
        <v>0.95</v>
      </c>
      <c r="E734" s="6">
        <v>0.85</v>
      </c>
      <c r="F734" s="6">
        <v>1.1</v>
      </c>
      <c r="G734" s="6">
        <v>0.4</v>
      </c>
      <c r="H734" s="6">
        <v>0.25</v>
      </c>
      <c r="I734" s="6">
        <v>0</v>
      </c>
      <c r="J734" s="6">
        <v>0.2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8">
        <f t="shared" si="25"/>
        <v>94.4</v>
      </c>
      <c r="U734" s="7">
        <v>530</v>
      </c>
      <c r="V734" s="6">
        <v>175</v>
      </c>
      <c r="W734" s="6">
        <v>8</v>
      </c>
      <c r="X734" s="6" t="s">
        <v>53</v>
      </c>
      <c r="Y734" s="6" t="s">
        <v>73</v>
      </c>
      <c r="Z734" s="6" t="s">
        <v>37</v>
      </c>
      <c r="AA734" s="6" t="s">
        <v>74</v>
      </c>
      <c r="AB734" s="6" t="s">
        <v>37</v>
      </c>
      <c r="AC734" s="6" t="s">
        <v>53</v>
      </c>
      <c r="AD734" s="26" t="s">
        <v>77</v>
      </c>
      <c r="AE734" s="7">
        <v>359</v>
      </c>
      <c r="AF734" s="6">
        <v>395</v>
      </c>
      <c r="AG734" s="10">
        <v>12</v>
      </c>
      <c r="AH734" s="31" t="s">
        <v>54</v>
      </c>
    </row>
    <row r="735" ht="13.9" spans="1:34">
      <c r="A735" s="6">
        <v>6066</v>
      </c>
      <c r="B735" s="7">
        <v>1.35</v>
      </c>
      <c r="C735" s="6">
        <v>0.5</v>
      </c>
      <c r="D735" s="6">
        <v>0.95</v>
      </c>
      <c r="E735" s="6">
        <v>0.85</v>
      </c>
      <c r="F735" s="6">
        <v>1.1</v>
      </c>
      <c r="G735" s="6">
        <v>0.4</v>
      </c>
      <c r="H735" s="6">
        <v>0.25</v>
      </c>
      <c r="I735" s="6">
        <v>0</v>
      </c>
      <c r="J735" s="6">
        <v>0.2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8">
        <f t="shared" si="25"/>
        <v>94.4</v>
      </c>
      <c r="U735" s="7">
        <v>530</v>
      </c>
      <c r="V735" s="6">
        <v>25</v>
      </c>
      <c r="W735" s="6">
        <v>0</v>
      </c>
      <c r="X735" s="6" t="s">
        <v>53</v>
      </c>
      <c r="Y735" s="6" t="s">
        <v>73</v>
      </c>
      <c r="Z735" s="6" t="s">
        <v>37</v>
      </c>
      <c r="AA735" s="6" t="s">
        <v>80</v>
      </c>
      <c r="AB735" s="6" t="s">
        <v>37</v>
      </c>
      <c r="AC735" s="6" t="s">
        <v>53</v>
      </c>
      <c r="AD735" s="26" t="s">
        <v>86</v>
      </c>
      <c r="AE735" s="7">
        <v>207</v>
      </c>
      <c r="AF735" s="6">
        <v>360</v>
      </c>
      <c r="AG735" s="10">
        <v>18</v>
      </c>
      <c r="AH735" s="31" t="s">
        <v>54</v>
      </c>
    </row>
    <row r="736" ht="13.9" spans="1:34">
      <c r="A736" s="6">
        <v>6066</v>
      </c>
      <c r="B736" s="7">
        <v>1.35</v>
      </c>
      <c r="C736" s="6">
        <v>0.5</v>
      </c>
      <c r="D736" s="6">
        <v>0.95</v>
      </c>
      <c r="E736" s="6">
        <v>0.85</v>
      </c>
      <c r="F736" s="6">
        <v>1.1</v>
      </c>
      <c r="G736" s="6">
        <v>0.4</v>
      </c>
      <c r="H736" s="6">
        <v>0.25</v>
      </c>
      <c r="I736" s="6">
        <v>0</v>
      </c>
      <c r="J736" s="6">
        <v>0.2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8">
        <f t="shared" si="25"/>
        <v>94.4</v>
      </c>
      <c r="U736" s="7">
        <v>530</v>
      </c>
      <c r="V736" s="6">
        <v>25</v>
      </c>
      <c r="W736" s="6">
        <v>0</v>
      </c>
      <c r="X736" s="6" t="s">
        <v>53</v>
      </c>
      <c r="Y736" s="6" t="s">
        <v>73</v>
      </c>
      <c r="Z736" s="6" t="s">
        <v>84</v>
      </c>
      <c r="AA736" s="6" t="s">
        <v>80</v>
      </c>
      <c r="AB736" s="6" t="s">
        <v>37</v>
      </c>
      <c r="AC736" s="6" t="s">
        <v>53</v>
      </c>
      <c r="AD736" s="26" t="s">
        <v>85</v>
      </c>
      <c r="AE736" s="7">
        <v>207</v>
      </c>
      <c r="AF736" s="6">
        <v>360</v>
      </c>
      <c r="AG736" s="10">
        <v>18</v>
      </c>
      <c r="AH736" s="31" t="s">
        <v>54</v>
      </c>
    </row>
    <row r="737" ht="13.9" spans="1:34">
      <c r="A737" s="6">
        <v>6066</v>
      </c>
      <c r="B737" s="7">
        <v>1.35</v>
      </c>
      <c r="C737" s="6">
        <v>0.5</v>
      </c>
      <c r="D737" s="6">
        <v>0.95</v>
      </c>
      <c r="E737" s="6">
        <v>0.85</v>
      </c>
      <c r="F737" s="6">
        <v>1.1</v>
      </c>
      <c r="G737" s="6">
        <v>0.4</v>
      </c>
      <c r="H737" s="6">
        <v>0.25</v>
      </c>
      <c r="I737" s="6">
        <v>0</v>
      </c>
      <c r="J737" s="6">
        <v>0.2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8">
        <f t="shared" si="25"/>
        <v>94.4</v>
      </c>
      <c r="U737" s="7">
        <v>530</v>
      </c>
      <c r="V737" s="6">
        <v>175</v>
      </c>
      <c r="W737" s="6">
        <v>8</v>
      </c>
      <c r="X737" s="6" t="s">
        <v>44</v>
      </c>
      <c r="Y737" s="6" t="s">
        <v>73</v>
      </c>
      <c r="Z737" s="6" t="s">
        <v>84</v>
      </c>
      <c r="AA737" s="6" t="s">
        <v>74</v>
      </c>
      <c r="AB737" s="6" t="s">
        <v>37</v>
      </c>
      <c r="AC737" s="6" t="s">
        <v>51</v>
      </c>
      <c r="AD737" s="26" t="s">
        <v>90</v>
      </c>
      <c r="AE737" s="7">
        <v>310</v>
      </c>
      <c r="AF737" s="6">
        <v>345</v>
      </c>
      <c r="AG737" s="10">
        <v>8</v>
      </c>
      <c r="AH737" s="31" t="s">
        <v>54</v>
      </c>
    </row>
    <row r="738" ht="13.9" spans="1:34">
      <c r="A738" s="6">
        <v>6066</v>
      </c>
      <c r="B738" s="7">
        <v>1.35</v>
      </c>
      <c r="C738" s="6">
        <v>0.5</v>
      </c>
      <c r="D738" s="6">
        <v>0.95</v>
      </c>
      <c r="E738" s="6">
        <v>0.85</v>
      </c>
      <c r="F738" s="6">
        <v>1.1</v>
      </c>
      <c r="G738" s="6">
        <v>0.4</v>
      </c>
      <c r="H738" s="6">
        <v>0.25</v>
      </c>
      <c r="I738" s="6">
        <v>0</v>
      </c>
      <c r="J738" s="6">
        <v>0.2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8">
        <f t="shared" si="25"/>
        <v>94.4</v>
      </c>
      <c r="U738" s="7">
        <v>530</v>
      </c>
      <c r="V738" s="6">
        <v>175</v>
      </c>
      <c r="W738" s="6">
        <v>8</v>
      </c>
      <c r="X738" s="6" t="s">
        <v>96</v>
      </c>
      <c r="Y738" s="6" t="s">
        <v>73</v>
      </c>
      <c r="Z738" s="6" t="s">
        <v>37</v>
      </c>
      <c r="AA738" s="6" t="s">
        <v>74</v>
      </c>
      <c r="AB738" s="6" t="s">
        <v>37</v>
      </c>
      <c r="AC738" s="6" t="s">
        <v>97</v>
      </c>
      <c r="AD738" s="26" t="s">
        <v>77</v>
      </c>
      <c r="AE738" s="7">
        <v>310</v>
      </c>
      <c r="AF738" s="6">
        <v>345</v>
      </c>
      <c r="AG738" s="10" t="s">
        <v>40</v>
      </c>
      <c r="AH738" s="31" t="s">
        <v>54</v>
      </c>
    </row>
    <row r="739" ht="13.9" spans="1:34">
      <c r="A739" s="6">
        <v>6066</v>
      </c>
      <c r="B739" s="7">
        <v>1.35</v>
      </c>
      <c r="C739" s="6">
        <v>0.5</v>
      </c>
      <c r="D739" s="6">
        <v>0.95</v>
      </c>
      <c r="E739" s="6">
        <v>0.85</v>
      </c>
      <c r="F739" s="6">
        <v>1.1</v>
      </c>
      <c r="G739" s="6">
        <v>0.4</v>
      </c>
      <c r="H739" s="6">
        <v>0.25</v>
      </c>
      <c r="I739" s="6">
        <v>0</v>
      </c>
      <c r="J739" s="6">
        <v>0.2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8">
        <f t="shared" si="25"/>
        <v>94.4</v>
      </c>
      <c r="U739" s="7">
        <v>530</v>
      </c>
      <c r="V739" s="6">
        <v>175</v>
      </c>
      <c r="W739" s="6">
        <v>8</v>
      </c>
      <c r="X739" s="6" t="s">
        <v>44</v>
      </c>
      <c r="Y739" s="6" t="s">
        <v>73</v>
      </c>
      <c r="Z739" s="6" t="s">
        <v>37</v>
      </c>
      <c r="AA739" s="6" t="s">
        <v>74</v>
      </c>
      <c r="AB739" s="6" t="s">
        <v>37</v>
      </c>
      <c r="AC739" s="6" t="s">
        <v>51</v>
      </c>
      <c r="AD739" s="26" t="s">
        <v>77</v>
      </c>
      <c r="AE739" s="7">
        <v>300</v>
      </c>
      <c r="AF739" s="6">
        <v>345</v>
      </c>
      <c r="AG739" s="10">
        <v>8</v>
      </c>
      <c r="AH739" s="31" t="s">
        <v>54</v>
      </c>
    </row>
    <row r="740" ht="13.9" spans="1:34">
      <c r="A740" s="6">
        <v>6066</v>
      </c>
      <c r="B740" s="7">
        <v>1.35</v>
      </c>
      <c r="C740" s="6">
        <v>0.5</v>
      </c>
      <c r="D740" s="6">
        <v>0.95</v>
      </c>
      <c r="E740" s="6">
        <v>0.85</v>
      </c>
      <c r="F740" s="6">
        <v>1.1</v>
      </c>
      <c r="G740" s="6">
        <v>0.4</v>
      </c>
      <c r="H740" s="6">
        <v>0.25</v>
      </c>
      <c r="I740" s="6">
        <v>0</v>
      </c>
      <c r="J740" s="6">
        <v>0.2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8">
        <f t="shared" si="25"/>
        <v>94.4</v>
      </c>
      <c r="U740" s="7">
        <v>530</v>
      </c>
      <c r="V740" s="6">
        <v>175</v>
      </c>
      <c r="W740" s="6">
        <v>8</v>
      </c>
      <c r="X740" s="6" t="s">
        <v>44</v>
      </c>
      <c r="Y740" s="6" t="s">
        <v>73</v>
      </c>
      <c r="Z740" s="6" t="s">
        <v>84</v>
      </c>
      <c r="AA740" s="6" t="s">
        <v>74</v>
      </c>
      <c r="AB740" s="6" t="s">
        <v>37</v>
      </c>
      <c r="AC740" s="6" t="s">
        <v>69</v>
      </c>
      <c r="AD740" s="26" t="s">
        <v>90</v>
      </c>
      <c r="AE740" s="7">
        <v>310</v>
      </c>
      <c r="AF740" s="6">
        <v>345</v>
      </c>
      <c r="AG740" s="10">
        <v>8</v>
      </c>
      <c r="AH740" s="31" t="s">
        <v>54</v>
      </c>
    </row>
    <row r="741" ht="13.9" spans="1:34">
      <c r="A741" s="6">
        <v>6066</v>
      </c>
      <c r="B741" s="7">
        <v>1.35</v>
      </c>
      <c r="C741" s="6">
        <v>0.5</v>
      </c>
      <c r="D741" s="6">
        <v>0.95</v>
      </c>
      <c r="E741" s="6">
        <v>0.85</v>
      </c>
      <c r="F741" s="6">
        <v>1.1</v>
      </c>
      <c r="G741" s="6">
        <v>0.4</v>
      </c>
      <c r="H741" s="6">
        <v>0.25</v>
      </c>
      <c r="I741" s="6">
        <v>0</v>
      </c>
      <c r="J741" s="6">
        <v>0.2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8">
        <f t="shared" si="25"/>
        <v>94.4</v>
      </c>
      <c r="U741" s="7">
        <v>530</v>
      </c>
      <c r="V741" s="6">
        <v>175</v>
      </c>
      <c r="W741" s="6">
        <v>8</v>
      </c>
      <c r="X741" s="6" t="s">
        <v>44</v>
      </c>
      <c r="Y741" s="6" t="s">
        <v>73</v>
      </c>
      <c r="Z741" s="6" t="s">
        <v>37</v>
      </c>
      <c r="AA741" s="6" t="s">
        <v>74</v>
      </c>
      <c r="AB741" s="6" t="s">
        <v>37</v>
      </c>
      <c r="AC741" s="6" t="s">
        <v>69</v>
      </c>
      <c r="AD741" s="26" t="s">
        <v>77</v>
      </c>
      <c r="AE741" s="7">
        <v>300</v>
      </c>
      <c r="AF741" s="6">
        <v>345</v>
      </c>
      <c r="AG741" s="10">
        <v>8</v>
      </c>
      <c r="AH741" s="31" t="s">
        <v>54</v>
      </c>
    </row>
    <row r="742" ht="13.9" spans="1:34">
      <c r="A742" s="6">
        <v>6066</v>
      </c>
      <c r="B742" s="7">
        <v>1.35</v>
      </c>
      <c r="C742" s="6">
        <v>0.5</v>
      </c>
      <c r="D742" s="6">
        <v>0.95</v>
      </c>
      <c r="E742" s="6">
        <v>0.85</v>
      </c>
      <c r="F742" s="6">
        <v>1.1</v>
      </c>
      <c r="G742" s="6">
        <v>0.4</v>
      </c>
      <c r="H742" s="6">
        <v>0.25</v>
      </c>
      <c r="I742" s="6">
        <v>0</v>
      </c>
      <c r="J742" s="6">
        <v>0.2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8">
        <f t="shared" si="25"/>
        <v>94.4</v>
      </c>
      <c r="U742" s="7">
        <v>530</v>
      </c>
      <c r="V742" s="6">
        <v>175</v>
      </c>
      <c r="W742" s="6">
        <v>8</v>
      </c>
      <c r="X742" s="6" t="s">
        <v>44</v>
      </c>
      <c r="Y742" s="6" t="s">
        <v>73</v>
      </c>
      <c r="Z742" s="6" t="s">
        <v>84</v>
      </c>
      <c r="AA742" s="6" t="s">
        <v>74</v>
      </c>
      <c r="AB742" s="6" t="s">
        <v>37</v>
      </c>
      <c r="AC742" s="6" t="s">
        <v>45</v>
      </c>
      <c r="AD742" s="26" t="s">
        <v>90</v>
      </c>
      <c r="AE742" s="7">
        <v>310</v>
      </c>
      <c r="AF742" s="6">
        <v>345</v>
      </c>
      <c r="AG742" s="10">
        <v>8</v>
      </c>
      <c r="AH742" s="31" t="s">
        <v>54</v>
      </c>
    </row>
    <row r="743" ht="13.9" spans="1:34">
      <c r="A743" s="6">
        <v>6066</v>
      </c>
      <c r="B743" s="7">
        <v>1.35</v>
      </c>
      <c r="C743" s="6">
        <v>0.5</v>
      </c>
      <c r="D743" s="6">
        <v>0.95</v>
      </c>
      <c r="E743" s="6">
        <v>0.85</v>
      </c>
      <c r="F743" s="6">
        <v>1.1</v>
      </c>
      <c r="G743" s="6">
        <v>0.4</v>
      </c>
      <c r="H743" s="6">
        <v>0.25</v>
      </c>
      <c r="I743" s="6">
        <v>0</v>
      </c>
      <c r="J743" s="6">
        <v>0.2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8">
        <f t="shared" si="25"/>
        <v>94.4</v>
      </c>
      <c r="U743" s="7">
        <v>530</v>
      </c>
      <c r="V743" s="6">
        <v>175</v>
      </c>
      <c r="W743" s="6">
        <v>8</v>
      </c>
      <c r="X743" s="6" t="s">
        <v>44</v>
      </c>
      <c r="Y743" s="6" t="s">
        <v>73</v>
      </c>
      <c r="Z743" s="6" t="s">
        <v>37</v>
      </c>
      <c r="AA743" s="6" t="s">
        <v>74</v>
      </c>
      <c r="AB743" s="6" t="s">
        <v>37</v>
      </c>
      <c r="AC743" s="6" t="s">
        <v>45</v>
      </c>
      <c r="AD743" s="26" t="s">
        <v>77</v>
      </c>
      <c r="AE743" s="7">
        <v>300</v>
      </c>
      <c r="AF743" s="6">
        <v>345</v>
      </c>
      <c r="AG743" s="10">
        <v>8</v>
      </c>
      <c r="AH743" s="31" t="s">
        <v>54</v>
      </c>
    </row>
    <row r="744" ht="13.9" spans="1:34">
      <c r="A744" s="6">
        <v>6066</v>
      </c>
      <c r="B744" s="7">
        <v>1.35</v>
      </c>
      <c r="C744" s="6">
        <v>0.5</v>
      </c>
      <c r="D744" s="6">
        <v>0.95</v>
      </c>
      <c r="E744" s="6">
        <v>0.85</v>
      </c>
      <c r="F744" s="6">
        <v>1.1</v>
      </c>
      <c r="G744" s="6">
        <v>0.4</v>
      </c>
      <c r="H744" s="6">
        <v>0.25</v>
      </c>
      <c r="I744" s="6">
        <v>0</v>
      </c>
      <c r="J744" s="6">
        <v>0.2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8">
        <f t="shared" si="25"/>
        <v>94.4</v>
      </c>
      <c r="U744" s="7">
        <v>530</v>
      </c>
      <c r="V744" s="6">
        <v>175</v>
      </c>
      <c r="W744" s="6">
        <v>8</v>
      </c>
      <c r="X744" s="6" t="s">
        <v>44</v>
      </c>
      <c r="Y744" s="6" t="s">
        <v>73</v>
      </c>
      <c r="Z744" s="6" t="s">
        <v>84</v>
      </c>
      <c r="AA744" s="6" t="s">
        <v>74</v>
      </c>
      <c r="AB744" s="6" t="s">
        <v>37</v>
      </c>
      <c r="AC744" s="6" t="s">
        <v>38</v>
      </c>
      <c r="AD744" s="26" t="s">
        <v>90</v>
      </c>
      <c r="AE744" s="7">
        <v>310</v>
      </c>
      <c r="AF744" s="6">
        <v>345</v>
      </c>
      <c r="AG744" s="10">
        <v>8</v>
      </c>
      <c r="AH744" s="31" t="s">
        <v>54</v>
      </c>
    </row>
    <row r="745" ht="13.9" spans="1:34">
      <c r="A745" s="6">
        <v>6066</v>
      </c>
      <c r="B745" s="7">
        <v>1.35</v>
      </c>
      <c r="C745" s="6">
        <v>0.5</v>
      </c>
      <c r="D745" s="6">
        <v>0.95</v>
      </c>
      <c r="E745" s="6">
        <v>0.85</v>
      </c>
      <c r="F745" s="6">
        <v>1.1</v>
      </c>
      <c r="G745" s="6">
        <v>0.4</v>
      </c>
      <c r="H745" s="6">
        <v>0.25</v>
      </c>
      <c r="I745" s="6">
        <v>0</v>
      </c>
      <c r="J745" s="6">
        <v>0.2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8">
        <f t="shared" si="25"/>
        <v>94.4</v>
      </c>
      <c r="U745" s="7">
        <v>530</v>
      </c>
      <c r="V745" s="6">
        <v>175</v>
      </c>
      <c r="W745" s="6">
        <v>8</v>
      </c>
      <c r="X745" s="6" t="s">
        <v>44</v>
      </c>
      <c r="Y745" s="6" t="s">
        <v>73</v>
      </c>
      <c r="Z745" s="6" t="s">
        <v>37</v>
      </c>
      <c r="AA745" s="6" t="s">
        <v>74</v>
      </c>
      <c r="AB745" s="6" t="s">
        <v>37</v>
      </c>
      <c r="AC745" s="6" t="s">
        <v>38</v>
      </c>
      <c r="AD745" s="26" t="s">
        <v>77</v>
      </c>
      <c r="AE745" s="7">
        <v>300</v>
      </c>
      <c r="AF745" s="6">
        <v>345</v>
      </c>
      <c r="AG745" s="10">
        <v>8</v>
      </c>
      <c r="AH745" s="31" t="s">
        <v>54</v>
      </c>
    </row>
    <row r="746" ht="13.9" spans="1:34">
      <c r="A746" s="6">
        <v>6066</v>
      </c>
      <c r="B746" s="7">
        <v>1.35</v>
      </c>
      <c r="C746" s="6">
        <v>0.5</v>
      </c>
      <c r="D746" s="6">
        <v>0.95</v>
      </c>
      <c r="E746" s="6">
        <v>0.85</v>
      </c>
      <c r="F746" s="6">
        <v>1.1</v>
      </c>
      <c r="G746" s="6">
        <v>0.4</v>
      </c>
      <c r="H746" s="6">
        <v>0.25</v>
      </c>
      <c r="I746" s="6">
        <v>0</v>
      </c>
      <c r="J746" s="6">
        <v>0.2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8">
        <f t="shared" si="25"/>
        <v>94.4</v>
      </c>
      <c r="U746" s="7">
        <v>530</v>
      </c>
      <c r="V746" s="6">
        <v>25</v>
      </c>
      <c r="W746" s="6">
        <v>0</v>
      </c>
      <c r="X746" s="6" t="s">
        <v>44</v>
      </c>
      <c r="Y746" s="6" t="s">
        <v>73</v>
      </c>
      <c r="Z746" s="6" t="s">
        <v>84</v>
      </c>
      <c r="AA746" s="6" t="s">
        <v>80</v>
      </c>
      <c r="AB746" s="6" t="s">
        <v>37</v>
      </c>
      <c r="AC746" s="6" t="s">
        <v>51</v>
      </c>
      <c r="AD746" s="26" t="s">
        <v>85</v>
      </c>
      <c r="AE746" s="7">
        <v>170</v>
      </c>
      <c r="AF746" s="6">
        <v>275</v>
      </c>
      <c r="AG746" s="10">
        <v>14</v>
      </c>
      <c r="AH746" s="31" t="s">
        <v>54</v>
      </c>
    </row>
    <row r="747" ht="13.9" spans="1:34">
      <c r="A747" s="6">
        <v>6066</v>
      </c>
      <c r="B747" s="7">
        <v>1.35</v>
      </c>
      <c r="C747" s="6">
        <v>0.5</v>
      </c>
      <c r="D747" s="6">
        <v>0.95</v>
      </c>
      <c r="E747" s="6">
        <v>0.85</v>
      </c>
      <c r="F747" s="6">
        <v>1.1</v>
      </c>
      <c r="G747" s="6">
        <v>0.4</v>
      </c>
      <c r="H747" s="6">
        <v>0.25</v>
      </c>
      <c r="I747" s="6">
        <v>0</v>
      </c>
      <c r="J747" s="6">
        <v>0.2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8">
        <f t="shared" si="25"/>
        <v>94.4</v>
      </c>
      <c r="U747" s="7">
        <v>530</v>
      </c>
      <c r="V747" s="6">
        <v>25</v>
      </c>
      <c r="W747" s="6">
        <v>0</v>
      </c>
      <c r="X747" s="6" t="s">
        <v>44</v>
      </c>
      <c r="Y747" s="6" t="s">
        <v>73</v>
      </c>
      <c r="Z747" s="5" t="s">
        <v>37</v>
      </c>
      <c r="AA747" s="5" t="s">
        <v>80</v>
      </c>
      <c r="AB747" s="5" t="s">
        <v>37</v>
      </c>
      <c r="AC747" s="5" t="s">
        <v>51</v>
      </c>
      <c r="AD747" s="26" t="s">
        <v>86</v>
      </c>
      <c r="AE747" s="41">
        <v>167</v>
      </c>
      <c r="AF747" s="5">
        <v>275</v>
      </c>
      <c r="AG747" s="34">
        <v>14</v>
      </c>
      <c r="AH747" s="31" t="s">
        <v>54</v>
      </c>
    </row>
    <row r="748" ht="13.9" spans="1:34">
      <c r="A748" s="6">
        <v>6066</v>
      </c>
      <c r="B748" s="7">
        <v>1.35</v>
      </c>
      <c r="C748" s="6">
        <v>0.5</v>
      </c>
      <c r="D748" s="6">
        <v>0.95</v>
      </c>
      <c r="E748" s="6">
        <v>0.85</v>
      </c>
      <c r="F748" s="6">
        <v>1.1</v>
      </c>
      <c r="G748" s="6">
        <v>0.4</v>
      </c>
      <c r="H748" s="6">
        <v>0.25</v>
      </c>
      <c r="I748" s="6">
        <v>0</v>
      </c>
      <c r="J748" s="6">
        <v>0.2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8">
        <f t="shared" si="25"/>
        <v>94.4</v>
      </c>
      <c r="U748" s="7">
        <v>530</v>
      </c>
      <c r="V748" s="6">
        <v>25</v>
      </c>
      <c r="W748" s="6">
        <v>0</v>
      </c>
      <c r="X748" s="6" t="s">
        <v>44</v>
      </c>
      <c r="Y748" s="6" t="s">
        <v>73</v>
      </c>
      <c r="Z748" s="6" t="s">
        <v>84</v>
      </c>
      <c r="AA748" s="6" t="s">
        <v>80</v>
      </c>
      <c r="AB748" s="6" t="s">
        <v>37</v>
      </c>
      <c r="AC748" s="6" t="s">
        <v>69</v>
      </c>
      <c r="AD748" s="26" t="s">
        <v>85</v>
      </c>
      <c r="AE748" s="7">
        <v>170</v>
      </c>
      <c r="AF748" s="6">
        <v>275</v>
      </c>
      <c r="AG748" s="10">
        <v>14</v>
      </c>
      <c r="AH748" s="31" t="s">
        <v>54</v>
      </c>
    </row>
    <row r="749" ht="13.9" spans="1:34">
      <c r="A749" s="6">
        <v>6066</v>
      </c>
      <c r="B749" s="7">
        <v>1.35</v>
      </c>
      <c r="C749" s="6">
        <v>0.5</v>
      </c>
      <c r="D749" s="6">
        <v>0.95</v>
      </c>
      <c r="E749" s="6">
        <v>0.85</v>
      </c>
      <c r="F749" s="6">
        <v>1.1</v>
      </c>
      <c r="G749" s="6">
        <v>0.4</v>
      </c>
      <c r="H749" s="6">
        <v>0.25</v>
      </c>
      <c r="I749" s="6">
        <v>0</v>
      </c>
      <c r="J749" s="6">
        <v>0.2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8">
        <f t="shared" si="25"/>
        <v>94.4</v>
      </c>
      <c r="U749" s="7">
        <v>530</v>
      </c>
      <c r="V749" s="6">
        <v>25</v>
      </c>
      <c r="W749" s="6">
        <v>0</v>
      </c>
      <c r="X749" s="6" t="s">
        <v>44</v>
      </c>
      <c r="Y749" s="6" t="s">
        <v>73</v>
      </c>
      <c r="Z749" s="5" t="s">
        <v>37</v>
      </c>
      <c r="AA749" s="5" t="s">
        <v>80</v>
      </c>
      <c r="AB749" s="5" t="s">
        <v>37</v>
      </c>
      <c r="AC749" s="6" t="s">
        <v>69</v>
      </c>
      <c r="AD749" s="26" t="s">
        <v>86</v>
      </c>
      <c r="AE749" s="41">
        <v>167</v>
      </c>
      <c r="AF749" s="5">
        <v>275</v>
      </c>
      <c r="AG749" s="34">
        <v>14</v>
      </c>
      <c r="AH749" s="31" t="s">
        <v>54</v>
      </c>
    </row>
    <row r="750" ht="13.9" spans="1:34">
      <c r="A750" s="6">
        <v>6066</v>
      </c>
      <c r="B750" s="7">
        <v>1.35</v>
      </c>
      <c r="C750" s="6">
        <v>0.5</v>
      </c>
      <c r="D750" s="6">
        <v>0.95</v>
      </c>
      <c r="E750" s="6">
        <v>0.85</v>
      </c>
      <c r="F750" s="6">
        <v>1.1</v>
      </c>
      <c r="G750" s="6">
        <v>0.4</v>
      </c>
      <c r="H750" s="6">
        <v>0.25</v>
      </c>
      <c r="I750" s="6">
        <v>0</v>
      </c>
      <c r="J750" s="6">
        <v>0.2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8">
        <f t="shared" si="25"/>
        <v>94.4</v>
      </c>
      <c r="U750" s="7">
        <v>530</v>
      </c>
      <c r="V750" s="6">
        <v>25</v>
      </c>
      <c r="W750" s="6">
        <v>0</v>
      </c>
      <c r="X750" s="6" t="s">
        <v>44</v>
      </c>
      <c r="Y750" s="6" t="s">
        <v>73</v>
      </c>
      <c r="Z750" s="6" t="s">
        <v>84</v>
      </c>
      <c r="AA750" s="6" t="s">
        <v>80</v>
      </c>
      <c r="AB750" s="6" t="s">
        <v>37</v>
      </c>
      <c r="AC750" s="6" t="s">
        <v>45</v>
      </c>
      <c r="AD750" s="26" t="s">
        <v>85</v>
      </c>
      <c r="AE750" s="7">
        <v>170</v>
      </c>
      <c r="AF750" s="6">
        <v>275</v>
      </c>
      <c r="AG750" s="10">
        <v>14</v>
      </c>
      <c r="AH750" s="31" t="s">
        <v>54</v>
      </c>
    </row>
    <row r="751" ht="13.9" spans="1:34">
      <c r="A751" s="6">
        <v>6066</v>
      </c>
      <c r="B751" s="7">
        <v>1.35</v>
      </c>
      <c r="C751" s="6">
        <v>0.5</v>
      </c>
      <c r="D751" s="6">
        <v>0.95</v>
      </c>
      <c r="E751" s="6">
        <v>0.85</v>
      </c>
      <c r="F751" s="6">
        <v>1.1</v>
      </c>
      <c r="G751" s="6">
        <v>0.4</v>
      </c>
      <c r="H751" s="6">
        <v>0.25</v>
      </c>
      <c r="I751" s="6">
        <v>0</v>
      </c>
      <c r="J751" s="6">
        <v>0.2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8">
        <f t="shared" si="25"/>
        <v>94.4</v>
      </c>
      <c r="U751" s="7">
        <v>530</v>
      </c>
      <c r="V751" s="6">
        <v>25</v>
      </c>
      <c r="W751" s="6">
        <v>0</v>
      </c>
      <c r="X751" s="6" t="s">
        <v>44</v>
      </c>
      <c r="Y751" s="6" t="s">
        <v>73</v>
      </c>
      <c r="Z751" s="5" t="s">
        <v>37</v>
      </c>
      <c r="AA751" s="5" t="s">
        <v>80</v>
      </c>
      <c r="AB751" s="5" t="s">
        <v>37</v>
      </c>
      <c r="AC751" s="6" t="s">
        <v>45</v>
      </c>
      <c r="AD751" s="26" t="s">
        <v>86</v>
      </c>
      <c r="AE751" s="41">
        <v>167</v>
      </c>
      <c r="AF751" s="5">
        <v>275</v>
      </c>
      <c r="AG751" s="34">
        <v>14</v>
      </c>
      <c r="AH751" s="31" t="s">
        <v>54</v>
      </c>
    </row>
    <row r="752" ht="13.9" spans="1:34">
      <c r="A752" s="6">
        <v>6066</v>
      </c>
      <c r="B752" s="7">
        <v>1.35</v>
      </c>
      <c r="C752" s="6">
        <v>0.5</v>
      </c>
      <c r="D752" s="6">
        <v>0.95</v>
      </c>
      <c r="E752" s="6">
        <v>0.85</v>
      </c>
      <c r="F752" s="6">
        <v>1.1</v>
      </c>
      <c r="G752" s="6">
        <v>0.4</v>
      </c>
      <c r="H752" s="6">
        <v>0.25</v>
      </c>
      <c r="I752" s="6">
        <v>0</v>
      </c>
      <c r="J752" s="6">
        <v>0.2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8">
        <f t="shared" si="25"/>
        <v>94.4</v>
      </c>
      <c r="U752" s="7">
        <v>530</v>
      </c>
      <c r="V752" s="6">
        <v>25</v>
      </c>
      <c r="W752" s="6">
        <v>0</v>
      </c>
      <c r="X752" s="6" t="s">
        <v>44</v>
      </c>
      <c r="Y752" s="6" t="s">
        <v>73</v>
      </c>
      <c r="Z752" s="6" t="s">
        <v>84</v>
      </c>
      <c r="AA752" s="6" t="s">
        <v>80</v>
      </c>
      <c r="AB752" s="6" t="s">
        <v>37</v>
      </c>
      <c r="AC752" s="6" t="s">
        <v>38</v>
      </c>
      <c r="AD752" s="26" t="s">
        <v>85</v>
      </c>
      <c r="AE752" s="7">
        <v>170</v>
      </c>
      <c r="AF752" s="6">
        <v>275</v>
      </c>
      <c r="AG752" s="10">
        <v>14</v>
      </c>
      <c r="AH752" s="31" t="s">
        <v>54</v>
      </c>
    </row>
    <row r="753" ht="13.9" spans="1:34">
      <c r="A753" s="6">
        <v>6066</v>
      </c>
      <c r="B753" s="7">
        <v>1.35</v>
      </c>
      <c r="C753" s="6">
        <v>0.5</v>
      </c>
      <c r="D753" s="6">
        <v>0.95</v>
      </c>
      <c r="E753" s="6">
        <v>0.85</v>
      </c>
      <c r="F753" s="6">
        <v>1.1</v>
      </c>
      <c r="G753" s="6">
        <v>0.4</v>
      </c>
      <c r="H753" s="6">
        <v>0.25</v>
      </c>
      <c r="I753" s="6">
        <v>0</v>
      </c>
      <c r="J753" s="6">
        <v>0.2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8">
        <f t="shared" si="25"/>
        <v>94.4</v>
      </c>
      <c r="U753" s="7">
        <v>530</v>
      </c>
      <c r="V753" s="6">
        <v>25</v>
      </c>
      <c r="W753" s="6">
        <v>0</v>
      </c>
      <c r="X753" s="6" t="s">
        <v>44</v>
      </c>
      <c r="Y753" s="6" t="s">
        <v>73</v>
      </c>
      <c r="Z753" s="5" t="s">
        <v>37</v>
      </c>
      <c r="AA753" s="5" t="s">
        <v>80</v>
      </c>
      <c r="AB753" s="5" t="s">
        <v>37</v>
      </c>
      <c r="AC753" s="6" t="s">
        <v>38</v>
      </c>
      <c r="AD753" s="26" t="s">
        <v>86</v>
      </c>
      <c r="AE753" s="41">
        <v>167</v>
      </c>
      <c r="AF753" s="5">
        <v>275</v>
      </c>
      <c r="AG753" s="34">
        <v>14</v>
      </c>
      <c r="AH753" s="31" t="s">
        <v>54</v>
      </c>
    </row>
    <row r="754" ht="13.9" spans="1:34">
      <c r="A754" s="6">
        <v>6066</v>
      </c>
      <c r="B754" s="7">
        <v>1.35</v>
      </c>
      <c r="C754" s="6">
        <v>0.5</v>
      </c>
      <c r="D754" s="6">
        <v>0.95</v>
      </c>
      <c r="E754" s="6">
        <v>0.85</v>
      </c>
      <c r="F754" s="6">
        <v>1.1</v>
      </c>
      <c r="G754" s="6">
        <v>0.4</v>
      </c>
      <c r="H754" s="6">
        <v>0.25</v>
      </c>
      <c r="I754" s="6">
        <v>0</v>
      </c>
      <c r="J754" s="6">
        <v>0.2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8">
        <f t="shared" si="25"/>
        <v>94.4</v>
      </c>
      <c r="U754" s="7">
        <v>415</v>
      </c>
      <c r="V754" s="6">
        <v>25</v>
      </c>
      <c r="W754" s="6">
        <v>0</v>
      </c>
      <c r="X754" s="6" t="s">
        <v>44</v>
      </c>
      <c r="Y754" s="6" t="s">
        <v>50</v>
      </c>
      <c r="Z754" s="6" t="s">
        <v>37</v>
      </c>
      <c r="AA754" s="6" t="s">
        <v>37</v>
      </c>
      <c r="AB754" s="6" t="s">
        <v>37</v>
      </c>
      <c r="AC754" s="6" t="s">
        <v>51</v>
      </c>
      <c r="AD754" s="26" t="s">
        <v>57</v>
      </c>
      <c r="AE754" s="7">
        <v>125</v>
      </c>
      <c r="AF754" s="6">
        <v>200</v>
      </c>
      <c r="AG754" s="10">
        <v>16</v>
      </c>
      <c r="AH754" s="31" t="s">
        <v>54</v>
      </c>
    </row>
    <row r="755" ht="13.9" spans="1:34">
      <c r="A755" s="6">
        <v>6066</v>
      </c>
      <c r="B755" s="7">
        <v>1.35</v>
      </c>
      <c r="C755" s="6">
        <v>0.5</v>
      </c>
      <c r="D755" s="6">
        <v>0.95</v>
      </c>
      <c r="E755" s="6">
        <v>0.85</v>
      </c>
      <c r="F755" s="6">
        <v>1.1</v>
      </c>
      <c r="G755" s="6">
        <v>0.4</v>
      </c>
      <c r="H755" s="6">
        <v>0.25</v>
      </c>
      <c r="I755" s="6">
        <v>0</v>
      </c>
      <c r="J755" s="6">
        <v>0.2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8">
        <f t="shared" si="25"/>
        <v>94.4</v>
      </c>
      <c r="U755" s="7">
        <v>415</v>
      </c>
      <c r="V755" s="6">
        <v>25</v>
      </c>
      <c r="W755" s="6">
        <v>0</v>
      </c>
      <c r="X755" s="6" t="s">
        <v>44</v>
      </c>
      <c r="Y755" s="6" t="s">
        <v>50</v>
      </c>
      <c r="Z755" s="6" t="s">
        <v>37</v>
      </c>
      <c r="AA755" s="6" t="s">
        <v>37</v>
      </c>
      <c r="AB755" s="6" t="s">
        <v>37</v>
      </c>
      <c r="AC755" s="6" t="s">
        <v>69</v>
      </c>
      <c r="AD755" s="26" t="s">
        <v>57</v>
      </c>
      <c r="AE755" s="7">
        <v>125</v>
      </c>
      <c r="AF755" s="6">
        <v>200</v>
      </c>
      <c r="AG755" s="10">
        <v>16</v>
      </c>
      <c r="AH755" s="31" t="s">
        <v>54</v>
      </c>
    </row>
    <row r="756" ht="13.9" spans="1:34">
      <c r="A756" s="6">
        <v>6066</v>
      </c>
      <c r="B756" s="7">
        <v>1.35</v>
      </c>
      <c r="C756" s="6">
        <v>0.5</v>
      </c>
      <c r="D756" s="6">
        <v>0.95</v>
      </c>
      <c r="E756" s="6">
        <v>0.85</v>
      </c>
      <c r="F756" s="6">
        <v>1.1</v>
      </c>
      <c r="G756" s="6">
        <v>0.4</v>
      </c>
      <c r="H756" s="6">
        <v>0.25</v>
      </c>
      <c r="I756" s="6">
        <v>0</v>
      </c>
      <c r="J756" s="6">
        <v>0.2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8">
        <f t="shared" ref="T756:T787" si="26">100-SUM(B756:S756)</f>
        <v>94.4</v>
      </c>
      <c r="U756" s="7">
        <v>415</v>
      </c>
      <c r="V756" s="6">
        <v>25</v>
      </c>
      <c r="W756" s="6">
        <v>0</v>
      </c>
      <c r="X756" s="6" t="s">
        <v>44</v>
      </c>
      <c r="Y756" s="6" t="s">
        <v>50</v>
      </c>
      <c r="Z756" s="6" t="s">
        <v>37</v>
      </c>
      <c r="AA756" s="6" t="s">
        <v>37</v>
      </c>
      <c r="AB756" s="6" t="s">
        <v>37</v>
      </c>
      <c r="AC756" s="6" t="s">
        <v>45</v>
      </c>
      <c r="AD756" s="26" t="s">
        <v>57</v>
      </c>
      <c r="AE756" s="7">
        <v>125</v>
      </c>
      <c r="AF756" s="6">
        <v>200</v>
      </c>
      <c r="AG756" s="10">
        <v>16</v>
      </c>
      <c r="AH756" s="31" t="s">
        <v>54</v>
      </c>
    </row>
    <row r="757" ht="13.9" spans="1:34">
      <c r="A757" s="6">
        <v>6066</v>
      </c>
      <c r="B757" s="7">
        <v>1.35</v>
      </c>
      <c r="C757" s="6">
        <v>0.5</v>
      </c>
      <c r="D757" s="6">
        <v>0.95</v>
      </c>
      <c r="E757" s="6">
        <v>0.85</v>
      </c>
      <c r="F757" s="6">
        <v>1.1</v>
      </c>
      <c r="G757" s="6">
        <v>0.4</v>
      </c>
      <c r="H757" s="6">
        <v>0.25</v>
      </c>
      <c r="I757" s="6">
        <v>0</v>
      </c>
      <c r="J757" s="6">
        <v>0.2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8">
        <f t="shared" si="26"/>
        <v>94.4</v>
      </c>
      <c r="U757" s="7">
        <v>415</v>
      </c>
      <c r="V757" s="6">
        <v>25</v>
      </c>
      <c r="W757" s="6">
        <v>0</v>
      </c>
      <c r="X757" s="6" t="s">
        <v>44</v>
      </c>
      <c r="Y757" s="6" t="s">
        <v>50</v>
      </c>
      <c r="Z757" s="6" t="s">
        <v>37</v>
      </c>
      <c r="AA757" s="6" t="s">
        <v>37</v>
      </c>
      <c r="AB757" s="6" t="s">
        <v>37</v>
      </c>
      <c r="AC757" s="6" t="s">
        <v>38</v>
      </c>
      <c r="AD757" s="26" t="s">
        <v>57</v>
      </c>
      <c r="AE757" s="7">
        <v>125</v>
      </c>
      <c r="AF757" s="6">
        <v>200</v>
      </c>
      <c r="AG757" s="10">
        <v>16</v>
      </c>
      <c r="AH757" s="31" t="s">
        <v>54</v>
      </c>
    </row>
    <row r="758" s="3" customFormat="1" ht="13.9" spans="1:34">
      <c r="A758" s="3">
        <v>6066</v>
      </c>
      <c r="B758" s="16">
        <v>1.35</v>
      </c>
      <c r="C758" s="3">
        <v>0.5</v>
      </c>
      <c r="D758" s="3">
        <v>0.95</v>
      </c>
      <c r="E758" s="3">
        <v>0.85</v>
      </c>
      <c r="F758" s="3">
        <v>1.1</v>
      </c>
      <c r="G758" s="3">
        <v>0.4</v>
      </c>
      <c r="H758" s="3">
        <v>0.25</v>
      </c>
      <c r="I758" s="3">
        <v>0</v>
      </c>
      <c r="J758" s="3">
        <v>0.2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22">
        <f t="shared" si="26"/>
        <v>94.4</v>
      </c>
      <c r="U758" s="16">
        <v>415</v>
      </c>
      <c r="V758" s="3">
        <v>25</v>
      </c>
      <c r="W758" s="3">
        <v>0</v>
      </c>
      <c r="X758" s="3" t="s">
        <v>53</v>
      </c>
      <c r="Y758" s="3" t="s">
        <v>50</v>
      </c>
      <c r="Z758" s="3" t="s">
        <v>37</v>
      </c>
      <c r="AA758" s="3" t="s">
        <v>37</v>
      </c>
      <c r="AB758" s="3" t="s">
        <v>37</v>
      </c>
      <c r="AC758" s="3" t="s">
        <v>53</v>
      </c>
      <c r="AD758" s="22" t="s">
        <v>57</v>
      </c>
      <c r="AE758" s="16">
        <v>83</v>
      </c>
      <c r="AF758" s="3">
        <v>150</v>
      </c>
      <c r="AG758" s="32">
        <v>18</v>
      </c>
      <c r="AH758" s="33" t="s">
        <v>54</v>
      </c>
    </row>
    <row r="759" ht="13.9" spans="1:34">
      <c r="A759" s="6">
        <v>6070</v>
      </c>
      <c r="B759" s="7">
        <v>1.35</v>
      </c>
      <c r="C759" s="6">
        <v>0.5</v>
      </c>
      <c r="D759" s="6">
        <v>0.275</v>
      </c>
      <c r="E759" s="6">
        <v>0.7</v>
      </c>
      <c r="F759" s="6">
        <v>0.85</v>
      </c>
      <c r="G759" s="6">
        <v>0.1</v>
      </c>
      <c r="H759" s="6">
        <v>0.25</v>
      </c>
      <c r="I759" s="6">
        <v>0</v>
      </c>
      <c r="J759" s="6">
        <v>0.15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8">
        <f t="shared" si="26"/>
        <v>95.825</v>
      </c>
      <c r="U759" s="7">
        <v>545</v>
      </c>
      <c r="V759" s="6">
        <v>160</v>
      </c>
      <c r="W759" s="6">
        <v>18</v>
      </c>
      <c r="X759" s="6" t="s">
        <v>53</v>
      </c>
      <c r="Y759" s="6" t="s">
        <v>73</v>
      </c>
      <c r="Z759" s="6" t="s">
        <v>37</v>
      </c>
      <c r="AA759" s="6" t="s">
        <v>74</v>
      </c>
      <c r="AB759" s="6" t="s">
        <v>37</v>
      </c>
      <c r="AC759" s="6" t="s">
        <v>53</v>
      </c>
      <c r="AD759" s="26" t="s">
        <v>77</v>
      </c>
      <c r="AE759" s="7">
        <v>352</v>
      </c>
      <c r="AF759" s="6">
        <v>379</v>
      </c>
      <c r="AG759" s="10">
        <v>10</v>
      </c>
      <c r="AH759" s="31" t="s">
        <v>54</v>
      </c>
    </row>
    <row r="760" ht="13.9" spans="1:34">
      <c r="A760" s="6">
        <v>6070</v>
      </c>
      <c r="B760" s="7">
        <v>1.35</v>
      </c>
      <c r="C760" s="6">
        <v>0.5</v>
      </c>
      <c r="D760" s="6">
        <v>0.275</v>
      </c>
      <c r="E760" s="6">
        <v>0.7</v>
      </c>
      <c r="F760" s="6">
        <v>0.85</v>
      </c>
      <c r="G760" s="6">
        <v>0.1</v>
      </c>
      <c r="H760" s="6">
        <v>0.25</v>
      </c>
      <c r="I760" s="6">
        <v>0</v>
      </c>
      <c r="J760" s="6">
        <v>0.15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8">
        <f t="shared" si="26"/>
        <v>95.825</v>
      </c>
      <c r="U760" s="7">
        <v>545</v>
      </c>
      <c r="V760" s="6">
        <v>25</v>
      </c>
      <c r="W760" s="6">
        <v>0</v>
      </c>
      <c r="X760" s="6" t="s">
        <v>53</v>
      </c>
      <c r="Y760" s="6" t="s">
        <v>73</v>
      </c>
      <c r="Z760" s="6" t="s">
        <v>37</v>
      </c>
      <c r="AA760" s="6" t="s">
        <v>80</v>
      </c>
      <c r="AB760" s="6" t="s">
        <v>37</v>
      </c>
      <c r="AC760" s="6" t="s">
        <v>53</v>
      </c>
      <c r="AD760" s="26" t="s">
        <v>86</v>
      </c>
      <c r="AE760" s="7">
        <v>172</v>
      </c>
      <c r="AF760" s="6">
        <v>317</v>
      </c>
      <c r="AG760" s="10">
        <v>20</v>
      </c>
      <c r="AH760" s="31" t="s">
        <v>54</v>
      </c>
    </row>
    <row r="761" s="3" customFormat="1" ht="13.9" spans="1:34">
      <c r="A761" s="3">
        <v>6070</v>
      </c>
      <c r="B761" s="16">
        <v>1.35</v>
      </c>
      <c r="C761" s="3">
        <v>0.5</v>
      </c>
      <c r="D761" s="3">
        <v>0.275</v>
      </c>
      <c r="E761" s="3">
        <v>0.7</v>
      </c>
      <c r="F761" s="3">
        <v>0.85</v>
      </c>
      <c r="G761" s="3">
        <v>0.1</v>
      </c>
      <c r="H761" s="3">
        <v>0.25</v>
      </c>
      <c r="I761" s="3">
        <v>0</v>
      </c>
      <c r="J761" s="3">
        <v>0.15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22">
        <f t="shared" si="26"/>
        <v>95.825</v>
      </c>
      <c r="U761" s="16">
        <v>545</v>
      </c>
      <c r="V761" s="3">
        <v>25</v>
      </c>
      <c r="W761" s="3">
        <v>0</v>
      </c>
      <c r="X761" s="3" t="s">
        <v>53</v>
      </c>
      <c r="Y761" s="3" t="s">
        <v>50</v>
      </c>
      <c r="Z761" s="3" t="s">
        <v>37</v>
      </c>
      <c r="AA761" s="3" t="s">
        <v>37</v>
      </c>
      <c r="AB761" s="3" t="s">
        <v>37</v>
      </c>
      <c r="AC761" s="3" t="s">
        <v>53</v>
      </c>
      <c r="AD761" s="27" t="s">
        <v>57</v>
      </c>
      <c r="AE761" s="16">
        <v>69</v>
      </c>
      <c r="AF761" s="3">
        <v>145</v>
      </c>
      <c r="AG761" s="32">
        <v>20</v>
      </c>
      <c r="AH761" s="33" t="s">
        <v>54</v>
      </c>
    </row>
    <row r="762" ht="13.9" spans="1:34">
      <c r="A762" s="6">
        <v>6101</v>
      </c>
      <c r="B762" s="7">
        <v>0.5</v>
      </c>
      <c r="C762" s="6">
        <v>0.5</v>
      </c>
      <c r="D762" s="6">
        <v>0.1</v>
      </c>
      <c r="E762" s="6">
        <v>0.03</v>
      </c>
      <c r="F762" s="6">
        <v>0.575</v>
      </c>
      <c r="G762" s="6">
        <v>0.03</v>
      </c>
      <c r="H762" s="6">
        <v>0.1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0.06</v>
      </c>
      <c r="R762" s="6">
        <v>0</v>
      </c>
      <c r="S762" s="6">
        <v>0</v>
      </c>
      <c r="T762" s="8">
        <f t="shared" si="26"/>
        <v>98.105</v>
      </c>
      <c r="U762" s="7">
        <v>510</v>
      </c>
      <c r="V762" s="6">
        <v>175</v>
      </c>
      <c r="W762" s="6">
        <v>7</v>
      </c>
      <c r="X762" s="6" t="s">
        <v>53</v>
      </c>
      <c r="Y762" s="6" t="s">
        <v>73</v>
      </c>
      <c r="Z762" s="6" t="s">
        <v>37</v>
      </c>
      <c r="AA762" s="6" t="s">
        <v>74</v>
      </c>
      <c r="AB762" s="6" t="s">
        <v>37</v>
      </c>
      <c r="AC762" s="6" t="s">
        <v>53</v>
      </c>
      <c r="AD762" s="26" t="s">
        <v>77</v>
      </c>
      <c r="AE762" s="7">
        <v>193</v>
      </c>
      <c r="AF762" s="6">
        <v>221</v>
      </c>
      <c r="AG762" s="10">
        <v>19</v>
      </c>
      <c r="AH762" s="31" t="s">
        <v>54</v>
      </c>
    </row>
    <row r="763" ht="13.9" spans="1:34">
      <c r="A763" s="6">
        <v>6101</v>
      </c>
      <c r="B763" s="7">
        <v>0.5</v>
      </c>
      <c r="C763" s="6">
        <v>0.5</v>
      </c>
      <c r="D763" s="6">
        <v>0.1</v>
      </c>
      <c r="E763" s="6">
        <v>0.03</v>
      </c>
      <c r="F763" s="6">
        <v>0.575</v>
      </c>
      <c r="G763" s="6">
        <v>0.03</v>
      </c>
      <c r="H763" s="6">
        <v>0.1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0.06</v>
      </c>
      <c r="R763" s="6">
        <v>0</v>
      </c>
      <c r="S763" s="6">
        <v>0</v>
      </c>
      <c r="T763" s="8">
        <f t="shared" si="26"/>
        <v>98.105</v>
      </c>
      <c r="U763" s="7">
        <v>510</v>
      </c>
      <c r="V763" s="6">
        <v>175</v>
      </c>
      <c r="W763" s="6">
        <v>7</v>
      </c>
      <c r="X763" s="6" t="s">
        <v>44</v>
      </c>
      <c r="Y763" s="6" t="s">
        <v>73</v>
      </c>
      <c r="Z763" s="6" t="s">
        <v>37</v>
      </c>
      <c r="AA763" s="6" t="s">
        <v>74</v>
      </c>
      <c r="AB763" s="6" t="s">
        <v>37</v>
      </c>
      <c r="AC763" s="6" t="s">
        <v>51</v>
      </c>
      <c r="AD763" s="26" t="s">
        <v>77</v>
      </c>
      <c r="AE763" s="7">
        <v>172</v>
      </c>
      <c r="AF763" s="6">
        <v>200</v>
      </c>
      <c r="AG763" s="10" t="s">
        <v>40</v>
      </c>
      <c r="AH763" s="31" t="s">
        <v>54</v>
      </c>
    </row>
    <row r="764" ht="13.9" spans="1:34">
      <c r="A764" s="6">
        <v>6101</v>
      </c>
      <c r="B764" s="7">
        <v>0.5</v>
      </c>
      <c r="C764" s="6">
        <v>0.5</v>
      </c>
      <c r="D764" s="6">
        <v>0.1</v>
      </c>
      <c r="E764" s="6">
        <v>0.03</v>
      </c>
      <c r="F764" s="6">
        <v>0.575</v>
      </c>
      <c r="G764" s="6">
        <v>0.03</v>
      </c>
      <c r="H764" s="6">
        <v>0.1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0.06</v>
      </c>
      <c r="R764" s="6">
        <v>0</v>
      </c>
      <c r="S764" s="6">
        <v>0</v>
      </c>
      <c r="T764" s="8">
        <f t="shared" si="26"/>
        <v>98.105</v>
      </c>
      <c r="U764" s="7">
        <v>510</v>
      </c>
      <c r="V764" s="6">
        <v>175</v>
      </c>
      <c r="W764" s="6">
        <v>7</v>
      </c>
      <c r="X764" s="6" t="s">
        <v>44</v>
      </c>
      <c r="Y764" s="6" t="s">
        <v>73</v>
      </c>
      <c r="Z764" s="6" t="s">
        <v>37</v>
      </c>
      <c r="AA764" s="6" t="s">
        <v>74</v>
      </c>
      <c r="AB764" s="6" t="s">
        <v>37</v>
      </c>
      <c r="AC764" s="6" t="s">
        <v>69</v>
      </c>
      <c r="AD764" s="26" t="s">
        <v>77</v>
      </c>
      <c r="AE764" s="7">
        <v>172</v>
      </c>
      <c r="AF764" s="6">
        <v>200</v>
      </c>
      <c r="AG764" s="10" t="s">
        <v>40</v>
      </c>
      <c r="AH764" s="31" t="s">
        <v>54</v>
      </c>
    </row>
    <row r="765" ht="13.9" spans="1:34">
      <c r="A765" s="6">
        <v>6101</v>
      </c>
      <c r="B765" s="7">
        <v>0.5</v>
      </c>
      <c r="C765" s="6">
        <v>0.5</v>
      </c>
      <c r="D765" s="6">
        <v>0.1</v>
      </c>
      <c r="E765" s="6">
        <v>0.03</v>
      </c>
      <c r="F765" s="6">
        <v>0.575</v>
      </c>
      <c r="G765" s="6">
        <v>0.03</v>
      </c>
      <c r="H765" s="6">
        <v>0.1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0.06</v>
      </c>
      <c r="R765" s="6">
        <v>0</v>
      </c>
      <c r="S765" s="6">
        <v>0</v>
      </c>
      <c r="T765" s="8">
        <f t="shared" si="26"/>
        <v>98.105</v>
      </c>
      <c r="U765" s="7">
        <v>510</v>
      </c>
      <c r="V765" s="6">
        <v>175</v>
      </c>
      <c r="W765" s="6">
        <v>7</v>
      </c>
      <c r="X765" s="6" t="s">
        <v>44</v>
      </c>
      <c r="Y765" s="6" t="s">
        <v>73</v>
      </c>
      <c r="Z765" s="6" t="s">
        <v>37</v>
      </c>
      <c r="AA765" s="6" t="s">
        <v>74</v>
      </c>
      <c r="AB765" s="6" t="s">
        <v>37</v>
      </c>
      <c r="AC765" s="6" t="s">
        <v>45</v>
      </c>
      <c r="AD765" s="26" t="s">
        <v>77</v>
      </c>
      <c r="AE765" s="7">
        <v>172</v>
      </c>
      <c r="AF765" s="6">
        <v>200</v>
      </c>
      <c r="AG765" s="10" t="s">
        <v>40</v>
      </c>
      <c r="AH765" s="31" t="s">
        <v>54</v>
      </c>
    </row>
    <row r="766" ht="13.9" spans="1:34">
      <c r="A766" s="6">
        <v>6101</v>
      </c>
      <c r="B766" s="7">
        <v>0.5</v>
      </c>
      <c r="C766" s="6">
        <v>0.5</v>
      </c>
      <c r="D766" s="6">
        <v>0.1</v>
      </c>
      <c r="E766" s="6">
        <v>0.03</v>
      </c>
      <c r="F766" s="6">
        <v>0.575</v>
      </c>
      <c r="G766" s="6">
        <v>0.03</v>
      </c>
      <c r="H766" s="6">
        <v>0.1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0.06</v>
      </c>
      <c r="R766" s="6">
        <v>0</v>
      </c>
      <c r="S766" s="6">
        <v>0</v>
      </c>
      <c r="T766" s="8">
        <f t="shared" si="26"/>
        <v>98.105</v>
      </c>
      <c r="U766" s="7">
        <v>510</v>
      </c>
      <c r="V766" s="6">
        <v>175</v>
      </c>
      <c r="W766" s="6">
        <v>7</v>
      </c>
      <c r="X766" s="6" t="s">
        <v>44</v>
      </c>
      <c r="Y766" s="6" t="s">
        <v>73</v>
      </c>
      <c r="Z766" s="6" t="s">
        <v>37</v>
      </c>
      <c r="AA766" s="6" t="s">
        <v>74</v>
      </c>
      <c r="AB766" s="6" t="s">
        <v>37</v>
      </c>
      <c r="AC766" s="6" t="s">
        <v>38</v>
      </c>
      <c r="AD766" s="26" t="s">
        <v>77</v>
      </c>
      <c r="AE766" s="7">
        <v>172</v>
      </c>
      <c r="AF766" s="6">
        <v>200</v>
      </c>
      <c r="AG766" s="10" t="s">
        <v>40</v>
      </c>
      <c r="AH766" s="31" t="s">
        <v>54</v>
      </c>
    </row>
    <row r="767" ht="13.9" spans="1:34">
      <c r="A767" s="6">
        <v>6101</v>
      </c>
      <c r="B767" s="7">
        <v>0.5</v>
      </c>
      <c r="C767" s="6">
        <v>0.5</v>
      </c>
      <c r="D767" s="6">
        <v>0.1</v>
      </c>
      <c r="E767" s="6">
        <v>0.03</v>
      </c>
      <c r="F767" s="6">
        <v>0.575</v>
      </c>
      <c r="G767" s="6">
        <v>0.03</v>
      </c>
      <c r="H767" s="6">
        <v>0.1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0.06</v>
      </c>
      <c r="R767" s="6">
        <v>0</v>
      </c>
      <c r="S767" s="6">
        <v>0</v>
      </c>
      <c r="T767" s="8">
        <f t="shared" si="26"/>
        <v>98.105</v>
      </c>
      <c r="U767" s="7">
        <v>510</v>
      </c>
      <c r="V767" s="6">
        <v>175</v>
      </c>
      <c r="W767" s="6">
        <v>7</v>
      </c>
      <c r="X767" s="6" t="s">
        <v>42</v>
      </c>
      <c r="Y767" s="6" t="s">
        <v>73</v>
      </c>
      <c r="Z767" s="6" t="s">
        <v>37</v>
      </c>
      <c r="AA767" s="6" t="s">
        <v>118</v>
      </c>
      <c r="AB767" s="6" t="s">
        <v>37</v>
      </c>
      <c r="AC767" s="6" t="s">
        <v>43</v>
      </c>
      <c r="AD767" s="26" t="s">
        <v>131</v>
      </c>
      <c r="AE767" s="7">
        <v>103</v>
      </c>
      <c r="AF767" s="6">
        <v>138</v>
      </c>
      <c r="AG767" s="10" t="s">
        <v>40</v>
      </c>
      <c r="AH767" s="31" t="s">
        <v>54</v>
      </c>
    </row>
    <row r="768" ht="13.9" spans="1:34">
      <c r="A768" s="6">
        <v>6101</v>
      </c>
      <c r="B768" s="7">
        <v>0.5</v>
      </c>
      <c r="C768" s="6">
        <v>0.5</v>
      </c>
      <c r="D768" s="6">
        <v>0.1</v>
      </c>
      <c r="E768" s="6">
        <v>0.03</v>
      </c>
      <c r="F768" s="6">
        <v>0.575</v>
      </c>
      <c r="G768" s="6">
        <v>0.03</v>
      </c>
      <c r="H768" s="6">
        <v>0.1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0.06</v>
      </c>
      <c r="R768" s="6">
        <v>0</v>
      </c>
      <c r="S768" s="6">
        <v>0</v>
      </c>
      <c r="T768" s="8">
        <f t="shared" si="26"/>
        <v>98.105</v>
      </c>
      <c r="U768" s="7">
        <v>510</v>
      </c>
      <c r="V768" s="6">
        <v>175</v>
      </c>
      <c r="W768" s="6">
        <v>7</v>
      </c>
      <c r="X768" s="6" t="s">
        <v>42</v>
      </c>
      <c r="Y768" s="6" t="s">
        <v>73</v>
      </c>
      <c r="Z768" s="6" t="s">
        <v>37</v>
      </c>
      <c r="AA768" s="6" t="s">
        <v>118</v>
      </c>
      <c r="AB768" s="6" t="s">
        <v>37</v>
      </c>
      <c r="AC768" s="6" t="s">
        <v>59</v>
      </c>
      <c r="AD768" s="26" t="s">
        <v>131</v>
      </c>
      <c r="AE768" s="7">
        <v>78</v>
      </c>
      <c r="AF768" s="6">
        <v>122</v>
      </c>
      <c r="AG768" s="10" t="s">
        <v>40</v>
      </c>
      <c r="AH768" s="31" t="s">
        <v>54</v>
      </c>
    </row>
    <row r="769" ht="13.9" spans="1:34">
      <c r="A769" s="6">
        <v>6101</v>
      </c>
      <c r="B769" s="7">
        <v>0.5</v>
      </c>
      <c r="C769" s="6">
        <v>0.5</v>
      </c>
      <c r="D769" s="6">
        <v>0.1</v>
      </c>
      <c r="E769" s="6">
        <v>0.03</v>
      </c>
      <c r="F769" s="6">
        <v>0.575</v>
      </c>
      <c r="G769" s="6">
        <v>0.03</v>
      </c>
      <c r="H769" s="6">
        <v>0.1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0.06</v>
      </c>
      <c r="R769" s="6">
        <v>0</v>
      </c>
      <c r="S769" s="6">
        <v>0</v>
      </c>
      <c r="T769" s="8">
        <f t="shared" si="26"/>
        <v>98.105</v>
      </c>
      <c r="U769" s="7">
        <v>25</v>
      </c>
      <c r="V769" s="6">
        <v>25</v>
      </c>
      <c r="W769" s="6">
        <v>0</v>
      </c>
      <c r="X769" s="6" t="s">
        <v>44</v>
      </c>
      <c r="Y769" s="6" t="s">
        <v>50</v>
      </c>
      <c r="Z769" s="6" t="s">
        <v>48</v>
      </c>
      <c r="AA769" s="6" t="s">
        <v>37</v>
      </c>
      <c r="AB769" s="6" t="s">
        <v>37</v>
      </c>
      <c r="AC769" s="6" t="s">
        <v>51</v>
      </c>
      <c r="AD769" s="26" t="s">
        <v>49</v>
      </c>
      <c r="AE769" s="7">
        <v>55</v>
      </c>
      <c r="AF769" s="6">
        <v>83</v>
      </c>
      <c r="AG769" s="10" t="s">
        <v>40</v>
      </c>
      <c r="AH769" s="31" t="s">
        <v>54</v>
      </c>
    </row>
    <row r="770" ht="13.9" spans="1:34">
      <c r="A770" s="6">
        <v>6101</v>
      </c>
      <c r="B770" s="7">
        <v>0.5</v>
      </c>
      <c r="C770" s="6">
        <v>0.5</v>
      </c>
      <c r="D770" s="6">
        <v>0.1</v>
      </c>
      <c r="E770" s="6">
        <v>0.03</v>
      </c>
      <c r="F770" s="6">
        <v>0.575</v>
      </c>
      <c r="G770" s="6">
        <v>0.03</v>
      </c>
      <c r="H770" s="6">
        <v>0.1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0.06</v>
      </c>
      <c r="R770" s="6">
        <v>0</v>
      </c>
      <c r="S770" s="6">
        <v>0</v>
      </c>
      <c r="T770" s="8">
        <f t="shared" si="26"/>
        <v>98.105</v>
      </c>
      <c r="U770" s="7">
        <v>25</v>
      </c>
      <c r="V770" s="6">
        <v>25</v>
      </c>
      <c r="W770" s="6">
        <v>0</v>
      </c>
      <c r="X770" s="6" t="s">
        <v>44</v>
      </c>
      <c r="Y770" s="6" t="s">
        <v>50</v>
      </c>
      <c r="Z770" s="6" t="s">
        <v>48</v>
      </c>
      <c r="AA770" s="6" t="s">
        <v>37</v>
      </c>
      <c r="AB770" s="6" t="s">
        <v>37</v>
      </c>
      <c r="AC770" s="6" t="s">
        <v>69</v>
      </c>
      <c r="AD770" s="26" t="s">
        <v>49</v>
      </c>
      <c r="AE770" s="7">
        <v>55</v>
      </c>
      <c r="AF770" s="6">
        <v>83</v>
      </c>
      <c r="AG770" s="10" t="s">
        <v>40</v>
      </c>
      <c r="AH770" s="31" t="s">
        <v>54</v>
      </c>
    </row>
    <row r="771" ht="13.9" spans="1:34">
      <c r="A771" s="6">
        <v>6101</v>
      </c>
      <c r="B771" s="7">
        <v>0.5</v>
      </c>
      <c r="C771" s="6">
        <v>0.5</v>
      </c>
      <c r="D771" s="6">
        <v>0.1</v>
      </c>
      <c r="E771" s="6">
        <v>0.03</v>
      </c>
      <c r="F771" s="6">
        <v>0.575</v>
      </c>
      <c r="G771" s="6">
        <v>0.03</v>
      </c>
      <c r="H771" s="6">
        <v>0.1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0.06</v>
      </c>
      <c r="R771" s="6">
        <v>0</v>
      </c>
      <c r="S771" s="6">
        <v>0</v>
      </c>
      <c r="T771" s="8">
        <f t="shared" si="26"/>
        <v>98.105</v>
      </c>
      <c r="U771" s="7">
        <v>25</v>
      </c>
      <c r="V771" s="6">
        <v>25</v>
      </c>
      <c r="W771" s="6">
        <v>0</v>
      </c>
      <c r="X771" s="6" t="s">
        <v>44</v>
      </c>
      <c r="Y771" s="6" t="s">
        <v>50</v>
      </c>
      <c r="Z771" s="6" t="s">
        <v>48</v>
      </c>
      <c r="AA771" s="6" t="s">
        <v>37</v>
      </c>
      <c r="AB771" s="6" t="s">
        <v>37</v>
      </c>
      <c r="AC771" s="6" t="s">
        <v>45</v>
      </c>
      <c r="AD771" s="26" t="s">
        <v>49</v>
      </c>
      <c r="AE771" s="7">
        <v>55</v>
      </c>
      <c r="AF771" s="6">
        <v>83</v>
      </c>
      <c r="AG771" s="10" t="s">
        <v>40</v>
      </c>
      <c r="AH771" s="31" t="s">
        <v>54</v>
      </c>
    </row>
    <row r="772" s="3" customFormat="1" ht="13.9" spans="1:34">
      <c r="A772" s="3">
        <v>6101</v>
      </c>
      <c r="B772" s="16">
        <v>0.5</v>
      </c>
      <c r="C772" s="3">
        <v>0.5</v>
      </c>
      <c r="D772" s="3">
        <v>0.1</v>
      </c>
      <c r="E772" s="3">
        <v>0.03</v>
      </c>
      <c r="F772" s="3">
        <v>0.575</v>
      </c>
      <c r="G772" s="3">
        <v>0.03</v>
      </c>
      <c r="H772" s="3">
        <v>0.1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0.06</v>
      </c>
      <c r="R772" s="3">
        <v>0</v>
      </c>
      <c r="S772" s="3">
        <v>0</v>
      </c>
      <c r="T772" s="22">
        <f t="shared" si="26"/>
        <v>98.105</v>
      </c>
      <c r="U772" s="16">
        <v>25</v>
      </c>
      <c r="V772" s="3">
        <v>25</v>
      </c>
      <c r="W772" s="3">
        <v>0</v>
      </c>
      <c r="X772" s="3" t="s">
        <v>44</v>
      </c>
      <c r="Y772" s="3" t="s">
        <v>50</v>
      </c>
      <c r="Z772" s="3" t="s">
        <v>48</v>
      </c>
      <c r="AA772" s="3" t="s">
        <v>37</v>
      </c>
      <c r="AB772" s="3" t="s">
        <v>37</v>
      </c>
      <c r="AC772" s="3" t="s">
        <v>38</v>
      </c>
      <c r="AD772" s="27" t="s">
        <v>49</v>
      </c>
      <c r="AE772" s="16">
        <v>55</v>
      </c>
      <c r="AF772" s="3">
        <v>83</v>
      </c>
      <c r="AG772" s="32" t="s">
        <v>40</v>
      </c>
      <c r="AH772" s="33" t="s">
        <v>54</v>
      </c>
    </row>
    <row r="773" ht="13.9" spans="1:34">
      <c r="A773" s="6">
        <v>6151</v>
      </c>
      <c r="B773" s="7">
        <v>0.9</v>
      </c>
      <c r="C773" s="6">
        <v>1</v>
      </c>
      <c r="D773" s="6">
        <v>0.35</v>
      </c>
      <c r="E773" s="6">
        <v>0.2</v>
      </c>
      <c r="F773" s="6">
        <v>0.625</v>
      </c>
      <c r="G773" s="6">
        <v>0.25</v>
      </c>
      <c r="H773" s="6">
        <v>0.25</v>
      </c>
      <c r="I773" s="6">
        <v>0</v>
      </c>
      <c r="J773" s="6">
        <v>0.15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8">
        <f t="shared" si="26"/>
        <v>96.275</v>
      </c>
      <c r="U773" s="7">
        <v>510</v>
      </c>
      <c r="V773" s="6">
        <v>170</v>
      </c>
      <c r="W773" s="6">
        <v>10</v>
      </c>
      <c r="X773" s="6" t="s">
        <v>96</v>
      </c>
      <c r="Y773" s="6" t="s">
        <v>73</v>
      </c>
      <c r="Z773" s="6" t="s">
        <v>37</v>
      </c>
      <c r="AA773" s="6" t="s">
        <v>74</v>
      </c>
      <c r="AB773" s="6" t="s">
        <v>37</v>
      </c>
      <c r="AC773" s="6" t="s">
        <v>97</v>
      </c>
      <c r="AD773" s="26" t="s">
        <v>77</v>
      </c>
      <c r="AE773" s="7">
        <v>255</v>
      </c>
      <c r="AF773" s="6">
        <v>303</v>
      </c>
      <c r="AG773" s="34">
        <v>10</v>
      </c>
      <c r="AH773" s="31" t="s">
        <v>54</v>
      </c>
    </row>
    <row r="774" ht="13.9" spans="1:34">
      <c r="A774" s="6">
        <v>6151</v>
      </c>
      <c r="B774" s="7">
        <v>0.9</v>
      </c>
      <c r="C774" s="6">
        <v>1</v>
      </c>
      <c r="D774" s="6">
        <v>0.35</v>
      </c>
      <c r="E774" s="6">
        <v>0.2</v>
      </c>
      <c r="F774" s="6">
        <v>0.625</v>
      </c>
      <c r="G774" s="6">
        <v>0.25</v>
      </c>
      <c r="H774" s="6">
        <v>0.25</v>
      </c>
      <c r="I774" s="6">
        <v>0</v>
      </c>
      <c r="J774" s="6">
        <v>0.15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8">
        <f t="shared" si="26"/>
        <v>96.275</v>
      </c>
      <c r="U774" s="7">
        <v>510</v>
      </c>
      <c r="V774" s="6">
        <v>170</v>
      </c>
      <c r="W774" s="6">
        <v>10</v>
      </c>
      <c r="X774" s="6" t="s">
        <v>42</v>
      </c>
      <c r="Y774" s="6" t="s">
        <v>73</v>
      </c>
      <c r="Z774" s="6" t="s">
        <v>37</v>
      </c>
      <c r="AA774" s="6" t="s">
        <v>74</v>
      </c>
      <c r="AB774" s="6" t="s">
        <v>37</v>
      </c>
      <c r="AC774" s="6" t="s">
        <v>94</v>
      </c>
      <c r="AD774" s="26" t="s">
        <v>77</v>
      </c>
      <c r="AE774" s="7">
        <v>246</v>
      </c>
      <c r="AF774" s="6">
        <v>299</v>
      </c>
      <c r="AG774" s="34">
        <v>3.7</v>
      </c>
      <c r="AH774" s="31" t="s">
        <v>54</v>
      </c>
    </row>
    <row r="775" s="3" customFormat="1" ht="13.9" spans="1:34">
      <c r="A775" s="3">
        <v>6151</v>
      </c>
      <c r="B775" s="16">
        <v>0.9</v>
      </c>
      <c r="C775" s="3">
        <v>1</v>
      </c>
      <c r="D775" s="3">
        <v>0.35</v>
      </c>
      <c r="E775" s="3">
        <v>0.2</v>
      </c>
      <c r="F775" s="3">
        <v>0.625</v>
      </c>
      <c r="G775" s="3">
        <v>0.25</v>
      </c>
      <c r="H775" s="3">
        <v>0.25</v>
      </c>
      <c r="I775" s="3">
        <v>0</v>
      </c>
      <c r="J775" s="3">
        <v>0.15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22">
        <f t="shared" si="26"/>
        <v>96.275</v>
      </c>
      <c r="U775" s="16">
        <v>510</v>
      </c>
      <c r="V775" s="3">
        <v>170</v>
      </c>
      <c r="W775" s="3">
        <v>10</v>
      </c>
      <c r="X775" s="3" t="s">
        <v>42</v>
      </c>
      <c r="Y775" s="3" t="s">
        <v>73</v>
      </c>
      <c r="Z775" s="3" t="s">
        <v>93</v>
      </c>
      <c r="AA775" s="3" t="s">
        <v>74</v>
      </c>
      <c r="AB775" s="3" t="s">
        <v>37</v>
      </c>
      <c r="AC775" s="3" t="s">
        <v>94</v>
      </c>
      <c r="AD775" s="27" t="s">
        <v>95</v>
      </c>
      <c r="AE775" s="16">
        <v>246</v>
      </c>
      <c r="AF775" s="3">
        <v>299</v>
      </c>
      <c r="AG775" s="38">
        <v>3.7</v>
      </c>
      <c r="AH775" s="33" t="s">
        <v>54</v>
      </c>
    </row>
    <row r="776" ht="13.9" spans="1:34">
      <c r="A776" s="6">
        <v>6201</v>
      </c>
      <c r="B776" s="7">
        <v>0.7</v>
      </c>
      <c r="C776" s="6">
        <v>0.5</v>
      </c>
      <c r="D776" s="6">
        <v>0.1</v>
      </c>
      <c r="E776" s="6">
        <v>0.03</v>
      </c>
      <c r="F776" s="6">
        <v>0.75</v>
      </c>
      <c r="G776" s="6">
        <v>0.03</v>
      </c>
      <c r="H776" s="6">
        <v>0.1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0.06</v>
      </c>
      <c r="R776" s="6">
        <v>0</v>
      </c>
      <c r="S776" s="6">
        <v>0</v>
      </c>
      <c r="T776" s="8">
        <f t="shared" si="26"/>
        <v>97.73</v>
      </c>
      <c r="U776" s="7">
        <v>510</v>
      </c>
      <c r="V776" s="6">
        <v>150</v>
      </c>
      <c r="W776" s="6">
        <v>4</v>
      </c>
      <c r="X776" s="6" t="s">
        <v>53</v>
      </c>
      <c r="Y776" s="6" t="s">
        <v>73</v>
      </c>
      <c r="Z776" s="6" t="s">
        <v>79</v>
      </c>
      <c r="AA776" s="6" t="s">
        <v>74</v>
      </c>
      <c r="AB776" s="6" t="s">
        <v>37</v>
      </c>
      <c r="AC776" s="6" t="s">
        <v>53</v>
      </c>
      <c r="AD776" s="26" t="s">
        <v>83</v>
      </c>
      <c r="AE776" s="7">
        <v>310</v>
      </c>
      <c r="AF776" s="6">
        <v>331</v>
      </c>
      <c r="AG776" s="10">
        <v>6</v>
      </c>
      <c r="AH776" s="31" t="s">
        <v>54</v>
      </c>
    </row>
    <row r="777" s="3" customFormat="1" ht="13.9" spans="1:34">
      <c r="A777" s="3">
        <v>6201</v>
      </c>
      <c r="B777" s="16">
        <v>0.7</v>
      </c>
      <c r="C777" s="3">
        <v>0.5</v>
      </c>
      <c r="D777" s="3">
        <v>0.1</v>
      </c>
      <c r="E777" s="3">
        <v>0.03</v>
      </c>
      <c r="F777" s="3">
        <v>0.75</v>
      </c>
      <c r="G777" s="3">
        <v>0.03</v>
      </c>
      <c r="H777" s="3">
        <v>0.1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0.06</v>
      </c>
      <c r="R777" s="3">
        <v>0</v>
      </c>
      <c r="S777" s="3">
        <v>0</v>
      </c>
      <c r="T777" s="22">
        <f t="shared" si="26"/>
        <v>97.73</v>
      </c>
      <c r="U777" s="16">
        <v>510</v>
      </c>
      <c r="V777" s="3">
        <v>150</v>
      </c>
      <c r="W777" s="3">
        <v>4</v>
      </c>
      <c r="X777" s="3" t="s">
        <v>34</v>
      </c>
      <c r="Y777" s="3" t="s">
        <v>73</v>
      </c>
      <c r="Z777" s="3" t="s">
        <v>79</v>
      </c>
      <c r="AA777" s="3" t="s">
        <v>74</v>
      </c>
      <c r="AB777" s="3" t="s">
        <v>37</v>
      </c>
      <c r="AC777" s="3" t="s">
        <v>38</v>
      </c>
      <c r="AD777" s="27" t="s">
        <v>83</v>
      </c>
      <c r="AE777" s="16" t="s">
        <v>40</v>
      </c>
      <c r="AF777" s="3">
        <v>315</v>
      </c>
      <c r="AG777" s="32">
        <v>3</v>
      </c>
      <c r="AH777" s="33" t="s">
        <v>54</v>
      </c>
    </row>
    <row r="778" ht="13.9" spans="1:34">
      <c r="A778" s="6">
        <v>6205</v>
      </c>
      <c r="B778" s="7">
        <v>0.75</v>
      </c>
      <c r="C778" s="6">
        <v>0.7</v>
      </c>
      <c r="D778" s="6">
        <v>0.2</v>
      </c>
      <c r="E778" s="6">
        <v>0.1</v>
      </c>
      <c r="F778" s="6">
        <v>0.5</v>
      </c>
      <c r="G778" s="6">
        <v>0.1</v>
      </c>
      <c r="H778" s="6">
        <v>0.25</v>
      </c>
      <c r="I778" s="6">
        <v>0</v>
      </c>
      <c r="J778" s="6">
        <v>0.15</v>
      </c>
      <c r="K778" s="6">
        <v>0.1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8">
        <f t="shared" si="26"/>
        <v>97.15</v>
      </c>
      <c r="U778" s="7">
        <v>25</v>
      </c>
      <c r="V778" s="6">
        <v>175</v>
      </c>
      <c r="W778" s="6">
        <v>6</v>
      </c>
      <c r="X778" s="6" t="s">
        <v>53</v>
      </c>
      <c r="Y778" s="6" t="s">
        <v>35</v>
      </c>
      <c r="Z778" s="6" t="s">
        <v>37</v>
      </c>
      <c r="AA778" s="6" t="s">
        <v>74</v>
      </c>
      <c r="AB778" s="6" t="s">
        <v>37</v>
      </c>
      <c r="AC778" s="6" t="s">
        <v>53</v>
      </c>
      <c r="AD778" s="26" t="s">
        <v>164</v>
      </c>
      <c r="AE778" s="7">
        <v>290</v>
      </c>
      <c r="AF778" s="6">
        <v>310</v>
      </c>
      <c r="AG778" s="10">
        <v>11</v>
      </c>
      <c r="AH778" s="31" t="s">
        <v>54</v>
      </c>
    </row>
    <row r="779" s="3" customFormat="1" ht="13.9" spans="1:34">
      <c r="A779" s="3">
        <v>6205</v>
      </c>
      <c r="B779" s="16">
        <v>0.75</v>
      </c>
      <c r="C779" s="3">
        <v>0.7</v>
      </c>
      <c r="D779" s="3">
        <v>0.2</v>
      </c>
      <c r="E779" s="3">
        <v>0.1</v>
      </c>
      <c r="F779" s="3">
        <v>0.5</v>
      </c>
      <c r="G779" s="3">
        <v>0.1</v>
      </c>
      <c r="H779" s="3">
        <v>0.25</v>
      </c>
      <c r="I779" s="3">
        <v>0</v>
      </c>
      <c r="J779" s="3">
        <v>0.15</v>
      </c>
      <c r="K779" s="3">
        <v>0.1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22">
        <f t="shared" si="26"/>
        <v>97.15</v>
      </c>
      <c r="U779" s="16">
        <v>25</v>
      </c>
      <c r="V779" s="3">
        <v>25</v>
      </c>
      <c r="W779" s="3">
        <v>0</v>
      </c>
      <c r="X779" s="3" t="s">
        <v>53</v>
      </c>
      <c r="Y779" s="3" t="s">
        <v>35</v>
      </c>
      <c r="Z779" s="3" t="s">
        <v>37</v>
      </c>
      <c r="AA779" s="3" t="s">
        <v>80</v>
      </c>
      <c r="AB779" s="3" t="s">
        <v>37</v>
      </c>
      <c r="AC779" s="3" t="s">
        <v>53</v>
      </c>
      <c r="AD779" s="27" t="s">
        <v>75</v>
      </c>
      <c r="AE779" s="16">
        <v>138</v>
      </c>
      <c r="AF779" s="3">
        <v>262</v>
      </c>
      <c r="AG779" s="32">
        <v>19</v>
      </c>
      <c r="AH779" s="33" t="s">
        <v>54</v>
      </c>
    </row>
    <row r="780" s="3" customFormat="1" ht="13.9" spans="1:34">
      <c r="A780" s="3">
        <v>6262</v>
      </c>
      <c r="B780" s="16">
        <v>0.6</v>
      </c>
      <c r="C780" s="3">
        <v>0.7</v>
      </c>
      <c r="D780" s="3">
        <v>0.275</v>
      </c>
      <c r="E780" s="3">
        <v>0.15</v>
      </c>
      <c r="F780" s="3">
        <v>1</v>
      </c>
      <c r="G780" s="3">
        <v>0.09</v>
      </c>
      <c r="H780" s="3">
        <v>0.25</v>
      </c>
      <c r="I780" s="3">
        <v>0</v>
      </c>
      <c r="J780" s="3">
        <v>0.15</v>
      </c>
      <c r="K780" s="3">
        <v>0</v>
      </c>
      <c r="L780" s="3">
        <v>0</v>
      </c>
      <c r="M780" s="3">
        <v>0</v>
      </c>
      <c r="N780" s="3">
        <v>0</v>
      </c>
      <c r="O780" s="3">
        <v>0.55</v>
      </c>
      <c r="P780" s="3">
        <v>0.55</v>
      </c>
      <c r="Q780" s="3">
        <v>0</v>
      </c>
      <c r="R780" s="3">
        <v>0</v>
      </c>
      <c r="S780" s="3">
        <v>0</v>
      </c>
      <c r="T780" s="22">
        <f t="shared" si="26"/>
        <v>95.685</v>
      </c>
      <c r="U780" s="16">
        <v>540</v>
      </c>
      <c r="V780" s="3">
        <v>170</v>
      </c>
      <c r="W780" s="3">
        <v>8</v>
      </c>
      <c r="X780" s="3" t="s">
        <v>53</v>
      </c>
      <c r="Y780" s="3" t="s">
        <v>73</v>
      </c>
      <c r="Z780" s="3" t="s">
        <v>84</v>
      </c>
      <c r="AA780" s="3" t="s">
        <v>74</v>
      </c>
      <c r="AB780" s="3" t="s">
        <v>37</v>
      </c>
      <c r="AC780" s="3" t="s">
        <v>53</v>
      </c>
      <c r="AD780" s="45" t="s">
        <v>90</v>
      </c>
      <c r="AE780" s="16">
        <v>276</v>
      </c>
      <c r="AF780" s="3">
        <v>310</v>
      </c>
      <c r="AG780" s="32">
        <v>17</v>
      </c>
      <c r="AH780" s="33" t="s">
        <v>54</v>
      </c>
    </row>
    <row r="781" ht="13.9" spans="1:34">
      <c r="A781" s="6">
        <v>6351</v>
      </c>
      <c r="B781" s="7">
        <v>1</v>
      </c>
      <c r="C781" s="6">
        <v>0.5</v>
      </c>
      <c r="D781" s="6">
        <v>0.1</v>
      </c>
      <c r="E781" s="6">
        <v>0.6</v>
      </c>
      <c r="F781" s="6">
        <v>0.6</v>
      </c>
      <c r="G781" s="6">
        <v>0</v>
      </c>
      <c r="H781" s="6">
        <v>0.2</v>
      </c>
      <c r="I781" s="6">
        <v>0</v>
      </c>
      <c r="J781" s="6">
        <v>0.2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8">
        <f t="shared" si="26"/>
        <v>96.8</v>
      </c>
      <c r="U781" s="7">
        <v>505</v>
      </c>
      <c r="V781" s="6">
        <v>170</v>
      </c>
      <c r="W781" s="6">
        <v>6</v>
      </c>
      <c r="X781" s="6" t="s">
        <v>53</v>
      </c>
      <c r="Y781" s="6" t="s">
        <v>73</v>
      </c>
      <c r="Z781" s="6" t="s">
        <v>37</v>
      </c>
      <c r="AA781" s="6" t="s">
        <v>74</v>
      </c>
      <c r="AB781" s="6" t="s">
        <v>37</v>
      </c>
      <c r="AC781" s="6" t="s">
        <v>53</v>
      </c>
      <c r="AD781" s="26" t="s">
        <v>77</v>
      </c>
      <c r="AE781" s="7">
        <v>283</v>
      </c>
      <c r="AF781" s="6">
        <v>310</v>
      </c>
      <c r="AG781" s="10">
        <v>14</v>
      </c>
      <c r="AH781" s="31" t="s">
        <v>54</v>
      </c>
    </row>
    <row r="782" ht="13.9" spans="1:34">
      <c r="A782" s="6">
        <v>6351</v>
      </c>
      <c r="B782" s="7">
        <v>1</v>
      </c>
      <c r="C782" s="6">
        <v>0.5</v>
      </c>
      <c r="D782" s="6">
        <v>0.1</v>
      </c>
      <c r="E782" s="6">
        <v>0.6</v>
      </c>
      <c r="F782" s="6">
        <v>0.6</v>
      </c>
      <c r="G782" s="6">
        <v>0</v>
      </c>
      <c r="H782" s="6">
        <v>0.2</v>
      </c>
      <c r="I782" s="6">
        <v>0</v>
      </c>
      <c r="J782" s="6">
        <v>0.2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8">
        <f t="shared" si="26"/>
        <v>96.8</v>
      </c>
      <c r="U782" s="7">
        <v>505</v>
      </c>
      <c r="V782" s="6">
        <v>25</v>
      </c>
      <c r="W782" s="6">
        <v>0</v>
      </c>
      <c r="X782" s="6" t="s">
        <v>53</v>
      </c>
      <c r="Y782" s="6" t="s">
        <v>73</v>
      </c>
      <c r="Z782" s="6" t="s">
        <v>37</v>
      </c>
      <c r="AA782" s="6" t="s">
        <v>80</v>
      </c>
      <c r="AB782" s="6" t="s">
        <v>37</v>
      </c>
      <c r="AC782" s="6" t="s">
        <v>53</v>
      </c>
      <c r="AD782" s="26" t="s">
        <v>86</v>
      </c>
      <c r="AE782" s="7">
        <v>152</v>
      </c>
      <c r="AF782" s="6">
        <v>248</v>
      </c>
      <c r="AG782" s="10">
        <v>20</v>
      </c>
      <c r="AH782" s="31" t="s">
        <v>54</v>
      </c>
    </row>
    <row r="783" s="3" customFormat="1" ht="13.9" spans="1:34">
      <c r="A783" s="3">
        <v>6351</v>
      </c>
      <c r="B783" s="16">
        <v>1</v>
      </c>
      <c r="C783" s="3">
        <v>0.5</v>
      </c>
      <c r="D783" s="3">
        <v>0.1</v>
      </c>
      <c r="E783" s="3">
        <v>0.6</v>
      </c>
      <c r="F783" s="3">
        <v>0.6</v>
      </c>
      <c r="G783" s="3">
        <v>0</v>
      </c>
      <c r="H783" s="3">
        <v>0.2</v>
      </c>
      <c r="I783" s="3">
        <v>0</v>
      </c>
      <c r="J783" s="3">
        <v>0.2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22">
        <f t="shared" si="26"/>
        <v>96.8</v>
      </c>
      <c r="U783" s="16">
        <v>25</v>
      </c>
      <c r="V783" s="3">
        <v>170</v>
      </c>
      <c r="W783" s="3">
        <v>6</v>
      </c>
      <c r="X783" s="3" t="s">
        <v>53</v>
      </c>
      <c r="Y783" s="3" t="s">
        <v>35</v>
      </c>
      <c r="Z783" s="3" t="s">
        <v>37</v>
      </c>
      <c r="AA783" s="3" t="s">
        <v>74</v>
      </c>
      <c r="AB783" s="3" t="s">
        <v>37</v>
      </c>
      <c r="AC783" s="3" t="s">
        <v>53</v>
      </c>
      <c r="AD783" s="27" t="s">
        <v>164</v>
      </c>
      <c r="AE783" s="16">
        <v>138</v>
      </c>
      <c r="AF783" s="3">
        <v>207</v>
      </c>
      <c r="AG783" s="32">
        <v>10</v>
      </c>
      <c r="AH783" s="33" t="s">
        <v>54</v>
      </c>
    </row>
    <row r="784" ht="13.9" spans="1:34">
      <c r="A784" s="6">
        <v>6463</v>
      </c>
      <c r="B784" s="7">
        <v>0.4</v>
      </c>
      <c r="C784" s="6">
        <v>0.15</v>
      </c>
      <c r="D784" s="6">
        <v>0.2</v>
      </c>
      <c r="E784" s="6">
        <v>0.05</v>
      </c>
      <c r="F784" s="6">
        <v>0.675</v>
      </c>
      <c r="G784" s="6">
        <v>0</v>
      </c>
      <c r="H784" s="6">
        <v>0.05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8">
        <f t="shared" si="26"/>
        <v>98.475</v>
      </c>
      <c r="U784" s="7">
        <v>25</v>
      </c>
      <c r="V784" s="6">
        <v>205</v>
      </c>
      <c r="W784" s="6">
        <v>1</v>
      </c>
      <c r="X784" s="6" t="s">
        <v>53</v>
      </c>
      <c r="Y784" s="6" t="s">
        <v>35</v>
      </c>
      <c r="Z784" s="6" t="s">
        <v>37</v>
      </c>
      <c r="AA784" s="6" t="s">
        <v>74</v>
      </c>
      <c r="AB784" s="6" t="s">
        <v>37</v>
      </c>
      <c r="AC784" s="6" t="s">
        <v>53</v>
      </c>
      <c r="AD784" s="26" t="s">
        <v>164</v>
      </c>
      <c r="AE784" s="7">
        <v>214</v>
      </c>
      <c r="AF784" s="6">
        <v>241</v>
      </c>
      <c r="AG784" s="10">
        <v>12</v>
      </c>
      <c r="AH784" s="31" t="s">
        <v>54</v>
      </c>
    </row>
    <row r="785" ht="13.9" spans="1:34">
      <c r="A785" s="6">
        <v>6463</v>
      </c>
      <c r="B785" s="7">
        <v>0.4</v>
      </c>
      <c r="C785" s="6">
        <v>0.15</v>
      </c>
      <c r="D785" s="6">
        <v>0.2</v>
      </c>
      <c r="E785" s="6">
        <v>0.05</v>
      </c>
      <c r="F785" s="6">
        <v>0.675</v>
      </c>
      <c r="G785" s="6">
        <v>0</v>
      </c>
      <c r="H785" s="6">
        <v>0.05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8">
        <f t="shared" si="26"/>
        <v>98.475</v>
      </c>
      <c r="U785" s="7">
        <v>25</v>
      </c>
      <c r="V785" s="6">
        <v>180</v>
      </c>
      <c r="W785" s="6">
        <v>3</v>
      </c>
      <c r="X785" s="6" t="s">
        <v>53</v>
      </c>
      <c r="Y785" s="6" t="s">
        <v>35</v>
      </c>
      <c r="Z785" s="6" t="s">
        <v>37</v>
      </c>
      <c r="AA785" s="6" t="s">
        <v>74</v>
      </c>
      <c r="AB785" s="6" t="s">
        <v>37</v>
      </c>
      <c r="AC785" s="6" t="s">
        <v>53</v>
      </c>
      <c r="AD785" s="26" t="s">
        <v>164</v>
      </c>
      <c r="AE785" s="7">
        <v>214</v>
      </c>
      <c r="AF785" s="6">
        <v>241</v>
      </c>
      <c r="AG785" s="10">
        <v>12</v>
      </c>
      <c r="AH785" s="31" t="s">
        <v>54</v>
      </c>
    </row>
    <row r="786" ht="13.9" spans="1:34">
      <c r="A786" s="6">
        <v>6463</v>
      </c>
      <c r="B786" s="7">
        <v>0.4</v>
      </c>
      <c r="C786" s="6">
        <v>0.15</v>
      </c>
      <c r="D786" s="6">
        <v>0.2</v>
      </c>
      <c r="E786" s="6">
        <v>0.05</v>
      </c>
      <c r="F786" s="6">
        <v>0.675</v>
      </c>
      <c r="G786" s="6">
        <v>0</v>
      </c>
      <c r="H786" s="6">
        <v>0.05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8">
        <f t="shared" si="26"/>
        <v>98.475</v>
      </c>
      <c r="U786" s="7">
        <v>520</v>
      </c>
      <c r="V786" s="6">
        <v>180</v>
      </c>
      <c r="W786" s="6">
        <v>6</v>
      </c>
      <c r="X786" s="6" t="s">
        <v>53</v>
      </c>
      <c r="Y786" s="6" t="s">
        <v>73</v>
      </c>
      <c r="Z786" s="6" t="s">
        <v>37</v>
      </c>
      <c r="AA786" s="6" t="s">
        <v>74</v>
      </c>
      <c r="AB786" s="6" t="s">
        <v>37</v>
      </c>
      <c r="AC786" s="6" t="s">
        <v>53</v>
      </c>
      <c r="AD786" s="26" t="s">
        <v>77</v>
      </c>
      <c r="AE786" s="7">
        <v>145</v>
      </c>
      <c r="AF786" s="6">
        <v>186</v>
      </c>
      <c r="AG786" s="10">
        <v>12</v>
      </c>
      <c r="AH786" s="31" t="s">
        <v>54</v>
      </c>
    </row>
    <row r="787" ht="13.9" spans="1:34">
      <c r="A787" s="6">
        <v>6463</v>
      </c>
      <c r="B787" s="7">
        <v>0.4</v>
      </c>
      <c r="C787" s="6">
        <v>0.15</v>
      </c>
      <c r="D787" s="6">
        <v>0.2</v>
      </c>
      <c r="E787" s="6">
        <v>0.05</v>
      </c>
      <c r="F787" s="6">
        <v>0.675</v>
      </c>
      <c r="G787" s="6">
        <v>0</v>
      </c>
      <c r="H787" s="6">
        <v>0.05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8">
        <f t="shared" si="26"/>
        <v>98.475</v>
      </c>
      <c r="U787" s="7">
        <v>520</v>
      </c>
      <c r="V787" s="6">
        <v>175</v>
      </c>
      <c r="W787" s="6">
        <v>8</v>
      </c>
      <c r="X787" s="6" t="s">
        <v>53</v>
      </c>
      <c r="Y787" s="6" t="s">
        <v>73</v>
      </c>
      <c r="Z787" s="6" t="s">
        <v>37</v>
      </c>
      <c r="AA787" s="6" t="s">
        <v>74</v>
      </c>
      <c r="AB787" s="6" t="s">
        <v>37</v>
      </c>
      <c r="AC787" s="6" t="s">
        <v>53</v>
      </c>
      <c r="AD787" s="26" t="s">
        <v>77</v>
      </c>
      <c r="AE787" s="7">
        <v>145</v>
      </c>
      <c r="AF787" s="6">
        <v>186</v>
      </c>
      <c r="AG787" s="10">
        <v>12</v>
      </c>
      <c r="AH787" s="31" t="s">
        <v>54</v>
      </c>
    </row>
    <row r="788" s="3" customFormat="1" ht="13.9" spans="1:34">
      <c r="A788" s="3">
        <v>6463</v>
      </c>
      <c r="B788" s="16">
        <v>0.4</v>
      </c>
      <c r="C788" s="3">
        <v>0.15</v>
      </c>
      <c r="D788" s="3">
        <v>0.2</v>
      </c>
      <c r="E788" s="3">
        <v>0.05</v>
      </c>
      <c r="F788" s="3">
        <v>0.675</v>
      </c>
      <c r="G788" s="3">
        <v>0</v>
      </c>
      <c r="H788" s="3">
        <v>0.05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22">
        <f t="shared" ref="T788:T801" si="27">100-SUM(B788:S788)</f>
        <v>98.475</v>
      </c>
      <c r="U788" s="16">
        <v>25</v>
      </c>
      <c r="V788" s="3">
        <v>25</v>
      </c>
      <c r="W788" s="3">
        <v>0</v>
      </c>
      <c r="X788" s="3" t="s">
        <v>53</v>
      </c>
      <c r="Y788" s="3" t="s">
        <v>35</v>
      </c>
      <c r="Z788" s="3" t="s">
        <v>37</v>
      </c>
      <c r="AA788" s="3" t="s">
        <v>80</v>
      </c>
      <c r="AB788" s="3" t="s">
        <v>37</v>
      </c>
      <c r="AC788" s="3" t="s">
        <v>53</v>
      </c>
      <c r="AD788" s="27" t="s">
        <v>75</v>
      </c>
      <c r="AE788" s="16">
        <v>90</v>
      </c>
      <c r="AF788" s="3">
        <v>152</v>
      </c>
      <c r="AG788" s="32">
        <v>20</v>
      </c>
      <c r="AH788" s="33" t="s">
        <v>54</v>
      </c>
    </row>
    <row r="789" s="4" customFormat="1" ht="13.9" spans="1:34">
      <c r="A789" s="4">
        <v>7005</v>
      </c>
      <c r="B789" s="35">
        <v>0.35</v>
      </c>
      <c r="C789" s="4">
        <v>0.4</v>
      </c>
      <c r="D789" s="4">
        <v>0.1</v>
      </c>
      <c r="E789" s="4">
        <v>0.45</v>
      </c>
      <c r="F789" s="4">
        <v>1.4</v>
      </c>
      <c r="G789" s="4">
        <v>0.13</v>
      </c>
      <c r="H789" s="4">
        <v>4.5</v>
      </c>
      <c r="I789" s="4">
        <v>0</v>
      </c>
      <c r="J789" s="4">
        <v>0.035</v>
      </c>
      <c r="K789" s="4">
        <v>0.14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37">
        <f t="shared" si="27"/>
        <v>92.495</v>
      </c>
      <c r="U789" s="35">
        <v>345</v>
      </c>
      <c r="V789" s="4">
        <v>25</v>
      </c>
      <c r="W789" s="4">
        <v>0</v>
      </c>
      <c r="X789" s="4" t="s">
        <v>53</v>
      </c>
      <c r="Y789" s="4" t="s">
        <v>50</v>
      </c>
      <c r="Z789" s="4" t="s">
        <v>37</v>
      </c>
      <c r="AA789" s="4" t="s">
        <v>37</v>
      </c>
      <c r="AB789" s="4" t="s">
        <v>37</v>
      </c>
      <c r="AC789" s="4" t="s">
        <v>53</v>
      </c>
      <c r="AD789" s="45" t="s">
        <v>57</v>
      </c>
      <c r="AE789" s="35">
        <v>83</v>
      </c>
      <c r="AF789" s="4">
        <v>193</v>
      </c>
      <c r="AG789" s="39">
        <v>20</v>
      </c>
      <c r="AH789" s="40" t="s">
        <v>54</v>
      </c>
    </row>
    <row r="790" spans="1:34">
      <c r="A790" s="6">
        <v>7010</v>
      </c>
      <c r="B790" s="7">
        <v>0.02</v>
      </c>
      <c r="C790" s="6">
        <v>0.06</v>
      </c>
      <c r="D790" s="6">
        <v>1.55</v>
      </c>
      <c r="E790" s="6">
        <v>0</v>
      </c>
      <c r="F790" s="6">
        <v>2.3</v>
      </c>
      <c r="G790" s="6">
        <v>0</v>
      </c>
      <c r="H790" s="6">
        <v>6.3</v>
      </c>
      <c r="I790" s="6">
        <v>0</v>
      </c>
      <c r="J790" s="6">
        <v>0</v>
      </c>
      <c r="K790" s="6">
        <v>0.14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0.25</v>
      </c>
      <c r="T790" s="8">
        <f t="shared" si="27"/>
        <v>89.38</v>
      </c>
      <c r="U790" s="7">
        <v>465</v>
      </c>
      <c r="V790" s="6">
        <v>120</v>
      </c>
      <c r="W790" s="6">
        <v>24</v>
      </c>
      <c r="X790" s="6" t="s">
        <v>53</v>
      </c>
      <c r="Y790" s="6" t="s">
        <v>73</v>
      </c>
      <c r="Z790" s="6" t="s">
        <v>37</v>
      </c>
      <c r="AA790" s="6" t="s">
        <v>74</v>
      </c>
      <c r="AB790" s="6" t="s">
        <v>37</v>
      </c>
      <c r="AC790" s="6" t="s">
        <v>59</v>
      </c>
      <c r="AD790" s="26" t="s">
        <v>77</v>
      </c>
      <c r="AE790" s="7">
        <v>537</v>
      </c>
      <c r="AF790" s="6">
        <v>588</v>
      </c>
      <c r="AG790" s="10">
        <v>14</v>
      </c>
      <c r="AH790" s="11" t="s">
        <v>179</v>
      </c>
    </row>
    <row r="791" s="3" customFormat="1" ht="13.9" spans="1:34">
      <c r="A791" s="3">
        <v>7010</v>
      </c>
      <c r="B791" s="16">
        <v>0.02</v>
      </c>
      <c r="C791" s="3">
        <v>0.06</v>
      </c>
      <c r="D791" s="3">
        <v>1.55</v>
      </c>
      <c r="E791" s="3">
        <v>0</v>
      </c>
      <c r="F791" s="3">
        <v>2.3</v>
      </c>
      <c r="G791" s="3">
        <v>0</v>
      </c>
      <c r="H791" s="3">
        <v>6.3</v>
      </c>
      <c r="I791" s="3">
        <v>0</v>
      </c>
      <c r="J791" s="3">
        <v>0</v>
      </c>
      <c r="K791" s="3">
        <v>0.14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22">
        <f t="shared" si="27"/>
        <v>89.63</v>
      </c>
      <c r="U791" s="16">
        <v>465</v>
      </c>
      <c r="V791" s="3">
        <v>120</v>
      </c>
      <c r="W791" s="3">
        <v>24</v>
      </c>
      <c r="X791" s="3" t="s">
        <v>53</v>
      </c>
      <c r="Y791" s="3" t="s">
        <v>73</v>
      </c>
      <c r="Z791" s="3" t="s">
        <v>37</v>
      </c>
      <c r="AA791" s="3" t="s">
        <v>74</v>
      </c>
      <c r="AB791" s="3" t="s">
        <v>37</v>
      </c>
      <c r="AC791" s="3" t="s">
        <v>59</v>
      </c>
      <c r="AD791" s="27" t="s">
        <v>77</v>
      </c>
      <c r="AE791" s="16">
        <v>500</v>
      </c>
      <c r="AF791" s="3">
        <v>566</v>
      </c>
      <c r="AG791" s="32">
        <v>13</v>
      </c>
      <c r="AH791" s="49" t="s">
        <v>180</v>
      </c>
    </row>
    <row r="792" s="2" customFormat="1" ht="13.9" spans="1:34">
      <c r="A792" s="2">
        <v>7039</v>
      </c>
      <c r="B792" s="15">
        <v>0.3</v>
      </c>
      <c r="C792" s="2">
        <v>0.4</v>
      </c>
      <c r="D792" s="2">
        <v>0.1</v>
      </c>
      <c r="E792" s="2">
        <v>0.25</v>
      </c>
      <c r="F792" s="2">
        <v>2.8</v>
      </c>
      <c r="G792" s="2">
        <v>0.2</v>
      </c>
      <c r="H792" s="2">
        <v>4</v>
      </c>
      <c r="I792" s="2">
        <v>0</v>
      </c>
      <c r="J792" s="2">
        <v>0.1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1">
        <f t="shared" si="27"/>
        <v>91.85</v>
      </c>
      <c r="U792" s="15">
        <v>480</v>
      </c>
      <c r="V792" s="2">
        <v>120</v>
      </c>
      <c r="W792" s="2">
        <v>22</v>
      </c>
      <c r="X792" s="2" t="s">
        <v>42</v>
      </c>
      <c r="Y792" s="2" t="s">
        <v>73</v>
      </c>
      <c r="Z792" s="2" t="s">
        <v>37</v>
      </c>
      <c r="AA792" s="2" t="s">
        <v>74</v>
      </c>
      <c r="AB792" s="2" t="s">
        <v>37</v>
      </c>
      <c r="AC792" s="2" t="s">
        <v>59</v>
      </c>
      <c r="AD792" s="26" t="s">
        <v>77</v>
      </c>
      <c r="AE792" s="15">
        <v>380</v>
      </c>
      <c r="AF792" s="2">
        <v>450</v>
      </c>
      <c r="AG792" s="29">
        <v>13</v>
      </c>
      <c r="AH792" s="30" t="s">
        <v>54</v>
      </c>
    </row>
    <row r="793" ht="13.9" spans="1:34">
      <c r="A793" s="6">
        <v>7039</v>
      </c>
      <c r="B793" s="7">
        <v>0.3</v>
      </c>
      <c r="C793" s="6">
        <v>0.4</v>
      </c>
      <c r="D793" s="6">
        <v>0.1</v>
      </c>
      <c r="E793" s="6">
        <v>0.25</v>
      </c>
      <c r="F793" s="6">
        <v>2.8</v>
      </c>
      <c r="G793" s="6">
        <v>0.2</v>
      </c>
      <c r="H793" s="6">
        <v>4</v>
      </c>
      <c r="I793" s="6">
        <v>0</v>
      </c>
      <c r="J793" s="6">
        <v>0.1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8">
        <f t="shared" si="27"/>
        <v>91.85</v>
      </c>
      <c r="U793" s="7">
        <v>480</v>
      </c>
      <c r="V793" s="6">
        <v>120</v>
      </c>
      <c r="W793" s="6">
        <v>22</v>
      </c>
      <c r="X793" s="6" t="s">
        <v>42</v>
      </c>
      <c r="Y793" s="6" t="s">
        <v>73</v>
      </c>
      <c r="Z793" s="6" t="s">
        <v>37</v>
      </c>
      <c r="AA793" s="6" t="s">
        <v>118</v>
      </c>
      <c r="AB793" s="6" t="s">
        <v>37</v>
      </c>
      <c r="AC793" s="6" t="s">
        <v>59</v>
      </c>
      <c r="AD793" s="26" t="s">
        <v>131</v>
      </c>
      <c r="AE793" s="7">
        <v>330</v>
      </c>
      <c r="AF793" s="6">
        <v>400</v>
      </c>
      <c r="AG793" s="10">
        <v>14</v>
      </c>
      <c r="AH793" s="31" t="s">
        <v>54</v>
      </c>
    </row>
    <row r="794" s="3" customFormat="1" ht="13.9" spans="1:34">
      <c r="A794" s="3">
        <v>7039</v>
      </c>
      <c r="B794" s="16">
        <v>0.3</v>
      </c>
      <c r="C794" s="3">
        <v>0.4</v>
      </c>
      <c r="D794" s="3">
        <v>0.1</v>
      </c>
      <c r="E794" s="3">
        <v>0.25</v>
      </c>
      <c r="F794" s="3">
        <v>2.8</v>
      </c>
      <c r="G794" s="3">
        <v>0.2</v>
      </c>
      <c r="H794" s="3">
        <v>4</v>
      </c>
      <c r="I794" s="3">
        <v>0</v>
      </c>
      <c r="J794" s="3">
        <v>0.1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22">
        <f t="shared" si="27"/>
        <v>91.85</v>
      </c>
      <c r="U794" s="16">
        <v>362.5</v>
      </c>
      <c r="V794" s="3">
        <v>25</v>
      </c>
      <c r="W794" s="3">
        <v>0</v>
      </c>
      <c r="X794" s="3" t="s">
        <v>42</v>
      </c>
      <c r="Y794" s="3" t="s">
        <v>35</v>
      </c>
      <c r="Z794" s="3" t="s">
        <v>37</v>
      </c>
      <c r="AA794" s="3" t="s">
        <v>37</v>
      </c>
      <c r="AB794" s="3" t="s">
        <v>37</v>
      </c>
      <c r="AC794" s="3" t="s">
        <v>59</v>
      </c>
      <c r="AD794" s="27" t="s">
        <v>57</v>
      </c>
      <c r="AE794" s="16">
        <v>103</v>
      </c>
      <c r="AF794" s="3">
        <v>227</v>
      </c>
      <c r="AG794" s="32">
        <v>22</v>
      </c>
      <c r="AH794" s="33" t="s">
        <v>54</v>
      </c>
    </row>
    <row r="795" s="4" customFormat="1" ht="13.9" spans="1:34">
      <c r="A795" s="4">
        <v>7049</v>
      </c>
      <c r="B795" s="35">
        <v>0.25</v>
      </c>
      <c r="C795" s="4">
        <v>0.35</v>
      </c>
      <c r="D795" s="4">
        <v>1.55</v>
      </c>
      <c r="E795" s="4">
        <v>0.2</v>
      </c>
      <c r="F795" s="4">
        <v>2.45</v>
      </c>
      <c r="G795" s="4">
        <v>0.16</v>
      </c>
      <c r="H795" s="4">
        <v>7.7</v>
      </c>
      <c r="I795" s="4">
        <v>0</v>
      </c>
      <c r="J795" s="4">
        <v>0.1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37">
        <f t="shared" si="27"/>
        <v>87.24</v>
      </c>
      <c r="U795" s="35">
        <v>480</v>
      </c>
      <c r="V795" s="4">
        <v>177</v>
      </c>
      <c r="W795" s="4">
        <v>9</v>
      </c>
      <c r="X795" s="4" t="s">
        <v>96</v>
      </c>
      <c r="Y795" s="4" t="s">
        <v>73</v>
      </c>
      <c r="Z795" s="4" t="s">
        <v>37</v>
      </c>
      <c r="AA795" s="4" t="s">
        <v>118</v>
      </c>
      <c r="AB795" s="4" t="s">
        <v>37</v>
      </c>
      <c r="AC795" s="4" t="s">
        <v>97</v>
      </c>
      <c r="AD795" s="45" t="s">
        <v>119</v>
      </c>
      <c r="AE795" s="35">
        <v>418</v>
      </c>
      <c r="AF795" s="4">
        <v>487</v>
      </c>
      <c r="AG795" s="46">
        <v>4.8</v>
      </c>
      <c r="AH795" s="40" t="s">
        <v>54</v>
      </c>
    </row>
    <row r="796" ht="13.9" spans="1:34">
      <c r="A796" s="6">
        <v>7050</v>
      </c>
      <c r="B796" s="7">
        <v>0.12</v>
      </c>
      <c r="C796" s="6">
        <v>0.15</v>
      </c>
      <c r="D796" s="6">
        <v>2.3</v>
      </c>
      <c r="E796" s="6">
        <v>0.1</v>
      </c>
      <c r="F796" s="6">
        <v>2.25</v>
      </c>
      <c r="G796" s="6">
        <v>0.04</v>
      </c>
      <c r="H796" s="6">
        <v>6.2</v>
      </c>
      <c r="I796" s="6">
        <v>0</v>
      </c>
      <c r="J796" s="6">
        <v>0.06</v>
      </c>
      <c r="K796" s="6">
        <v>0.115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8">
        <f t="shared" si="27"/>
        <v>88.665</v>
      </c>
      <c r="U796" s="7">
        <v>475</v>
      </c>
      <c r="V796" s="6">
        <v>177</v>
      </c>
      <c r="W796" s="6">
        <v>9</v>
      </c>
      <c r="X796" s="6" t="s">
        <v>96</v>
      </c>
      <c r="Y796" s="6" t="s">
        <v>73</v>
      </c>
      <c r="Z796" s="6" t="s">
        <v>37</v>
      </c>
      <c r="AA796" s="6" t="s">
        <v>118</v>
      </c>
      <c r="AB796" s="6" t="s">
        <v>37</v>
      </c>
      <c r="AC796" s="6" t="s">
        <v>97</v>
      </c>
      <c r="AD796" s="26" t="s">
        <v>119</v>
      </c>
      <c r="AE796" s="7">
        <v>397</v>
      </c>
      <c r="AF796" s="6">
        <v>474</v>
      </c>
      <c r="AG796" s="34">
        <v>5.4</v>
      </c>
      <c r="AH796" s="31" t="s">
        <v>54</v>
      </c>
    </row>
    <row r="797" s="3" customFormat="1" ht="13.9" spans="1:34">
      <c r="A797" s="3">
        <v>7050</v>
      </c>
      <c r="B797" s="16">
        <v>0.12</v>
      </c>
      <c r="C797" s="3">
        <v>0.15</v>
      </c>
      <c r="D797" s="3">
        <v>2.3</v>
      </c>
      <c r="E797" s="3">
        <v>0.1</v>
      </c>
      <c r="F797" s="3">
        <v>2.25</v>
      </c>
      <c r="G797" s="3">
        <v>0.04</v>
      </c>
      <c r="H797" s="3">
        <v>6.2</v>
      </c>
      <c r="I797" s="3">
        <v>0</v>
      </c>
      <c r="J797" s="3">
        <v>0.06</v>
      </c>
      <c r="K797" s="3">
        <v>0.115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22">
        <f t="shared" si="27"/>
        <v>88.665</v>
      </c>
      <c r="U797" s="16">
        <v>475</v>
      </c>
      <c r="V797" s="3">
        <v>177</v>
      </c>
      <c r="W797" s="3">
        <v>7</v>
      </c>
      <c r="X797" s="3" t="s">
        <v>96</v>
      </c>
      <c r="Y797" s="3" t="s">
        <v>73</v>
      </c>
      <c r="Z797" s="3" t="s">
        <v>37</v>
      </c>
      <c r="AA797" s="3" t="s">
        <v>118</v>
      </c>
      <c r="AB797" s="3" t="s">
        <v>37</v>
      </c>
      <c r="AC797" s="3" t="s">
        <v>97</v>
      </c>
      <c r="AD797" s="27" t="s">
        <v>119</v>
      </c>
      <c r="AE797" s="16">
        <v>395</v>
      </c>
      <c r="AF797" s="3">
        <v>473</v>
      </c>
      <c r="AG797" s="38">
        <v>6.1</v>
      </c>
      <c r="AH797" s="33" t="s">
        <v>54</v>
      </c>
    </row>
    <row r="798" ht="13.9" spans="1:34">
      <c r="A798" s="6">
        <v>7075</v>
      </c>
      <c r="B798" s="7">
        <v>0.11</v>
      </c>
      <c r="C798" s="6">
        <v>0.2</v>
      </c>
      <c r="D798" s="6">
        <v>1.6</v>
      </c>
      <c r="E798" s="6">
        <v>0.04</v>
      </c>
      <c r="F798" s="6">
        <v>2.4</v>
      </c>
      <c r="G798" s="6">
        <v>0.2</v>
      </c>
      <c r="H798" s="6">
        <v>6.1</v>
      </c>
      <c r="I798" s="6">
        <v>0</v>
      </c>
      <c r="J798" s="6">
        <v>0.036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8">
        <f t="shared" si="27"/>
        <v>89.314</v>
      </c>
      <c r="U798" s="7">
        <v>490</v>
      </c>
      <c r="V798" s="6">
        <v>120</v>
      </c>
      <c r="W798" s="6">
        <v>24</v>
      </c>
      <c r="X798" s="6" t="s">
        <v>42</v>
      </c>
      <c r="Y798" s="6" t="s">
        <v>73</v>
      </c>
      <c r="Z798" s="6" t="s">
        <v>84</v>
      </c>
      <c r="AA798" s="6" t="s">
        <v>74</v>
      </c>
      <c r="AB798" s="6" t="s">
        <v>37</v>
      </c>
      <c r="AC798" s="6" t="s">
        <v>51</v>
      </c>
      <c r="AD798" s="26" t="s">
        <v>90</v>
      </c>
      <c r="AE798" s="7">
        <v>458</v>
      </c>
      <c r="AF798" s="6">
        <v>529</v>
      </c>
      <c r="AG798" s="10">
        <v>31</v>
      </c>
      <c r="AH798" s="48" t="s">
        <v>181</v>
      </c>
    </row>
    <row r="799" ht="13.9" spans="1:34">
      <c r="A799" s="6">
        <v>7075</v>
      </c>
      <c r="B799" s="7">
        <v>0.11</v>
      </c>
      <c r="C799" s="6">
        <v>0.2</v>
      </c>
      <c r="D799" s="6">
        <v>1.6</v>
      </c>
      <c r="E799" s="6">
        <v>0.04</v>
      </c>
      <c r="F799" s="6">
        <v>2.4</v>
      </c>
      <c r="G799" s="6">
        <v>0.2</v>
      </c>
      <c r="H799" s="6">
        <v>6.1</v>
      </c>
      <c r="I799" s="6">
        <v>0</v>
      </c>
      <c r="J799" s="6">
        <v>0.036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8">
        <f t="shared" si="27"/>
        <v>89.314</v>
      </c>
      <c r="U799" s="7">
        <v>490</v>
      </c>
      <c r="V799" s="6">
        <v>175</v>
      </c>
      <c r="W799" s="6">
        <v>9</v>
      </c>
      <c r="X799" s="6" t="s">
        <v>42</v>
      </c>
      <c r="Y799" s="6" t="s">
        <v>73</v>
      </c>
      <c r="Z799" s="6" t="s">
        <v>84</v>
      </c>
      <c r="AA799" s="6" t="s">
        <v>118</v>
      </c>
      <c r="AB799" s="6" t="s">
        <v>37</v>
      </c>
      <c r="AC799" s="6" t="s">
        <v>51</v>
      </c>
      <c r="AD799" s="26" t="s">
        <v>182</v>
      </c>
      <c r="AE799" s="7">
        <v>386</v>
      </c>
      <c r="AF799" s="6">
        <v>455</v>
      </c>
      <c r="AG799" s="10">
        <v>37</v>
      </c>
      <c r="AH799" s="48" t="s">
        <v>181</v>
      </c>
    </row>
    <row r="800" ht="13.9" spans="1:34">
      <c r="A800" s="6">
        <v>7075</v>
      </c>
      <c r="B800" s="7">
        <v>0</v>
      </c>
      <c r="C800" s="6">
        <v>0</v>
      </c>
      <c r="D800" s="6">
        <v>1.6</v>
      </c>
      <c r="E800" s="6">
        <v>0</v>
      </c>
      <c r="F800" s="6">
        <v>2.5</v>
      </c>
      <c r="G800" s="6">
        <v>0.25</v>
      </c>
      <c r="H800" s="6">
        <v>5.6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8">
        <f t="shared" si="27"/>
        <v>90.05</v>
      </c>
      <c r="U800" s="7">
        <v>460</v>
      </c>
      <c r="V800" s="6">
        <v>25</v>
      </c>
      <c r="W800" s="6">
        <v>0</v>
      </c>
      <c r="X800" s="6" t="s">
        <v>44</v>
      </c>
      <c r="Y800" s="6" t="s">
        <v>73</v>
      </c>
      <c r="Z800" s="6" t="s">
        <v>37</v>
      </c>
      <c r="AA800" s="6" t="s">
        <v>80</v>
      </c>
      <c r="AB800" s="6" t="s">
        <v>37</v>
      </c>
      <c r="AC800" s="6" t="s">
        <v>97</v>
      </c>
      <c r="AD800" s="26" t="s">
        <v>86</v>
      </c>
      <c r="AE800" s="7">
        <v>505</v>
      </c>
      <c r="AF800" s="6">
        <v>570</v>
      </c>
      <c r="AG800" s="10">
        <v>11</v>
      </c>
      <c r="AH800" s="31" t="s">
        <v>41</v>
      </c>
    </row>
    <row r="801" ht="13.9" spans="1:34">
      <c r="A801" s="6">
        <v>7075</v>
      </c>
      <c r="B801" s="7">
        <v>0</v>
      </c>
      <c r="C801" s="6">
        <v>0</v>
      </c>
      <c r="D801" s="6">
        <v>1.6</v>
      </c>
      <c r="E801" s="6">
        <v>0</v>
      </c>
      <c r="F801" s="6">
        <v>2.5</v>
      </c>
      <c r="G801" s="6">
        <v>0.25</v>
      </c>
      <c r="H801" s="6">
        <v>5.6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8">
        <f t="shared" si="27"/>
        <v>90.05</v>
      </c>
      <c r="U801" s="7">
        <v>460</v>
      </c>
      <c r="V801" s="6">
        <v>25</v>
      </c>
      <c r="W801" s="6">
        <v>0</v>
      </c>
      <c r="X801" s="6" t="s">
        <v>96</v>
      </c>
      <c r="Y801" s="6" t="s">
        <v>73</v>
      </c>
      <c r="Z801" s="6" t="s">
        <v>37</v>
      </c>
      <c r="AA801" s="6" t="s">
        <v>80</v>
      </c>
      <c r="AB801" s="6" t="s">
        <v>37</v>
      </c>
      <c r="AC801" s="6" t="s">
        <v>97</v>
      </c>
      <c r="AD801" s="26" t="s">
        <v>86</v>
      </c>
      <c r="AE801" s="7">
        <v>505</v>
      </c>
      <c r="AF801" s="6">
        <v>570</v>
      </c>
      <c r="AG801" s="10">
        <v>11</v>
      </c>
      <c r="AH801" s="31" t="s">
        <v>41</v>
      </c>
    </row>
    <row r="802" ht="13.9" spans="1:34">
      <c r="A802" s="6">
        <v>7075</v>
      </c>
      <c r="B802" s="7">
        <v>0</v>
      </c>
      <c r="C802" s="6">
        <v>0</v>
      </c>
      <c r="D802" s="6">
        <v>1.6</v>
      </c>
      <c r="E802" s="6">
        <v>0</v>
      </c>
      <c r="F802" s="6">
        <v>2.5</v>
      </c>
      <c r="G802" s="6">
        <v>0.25</v>
      </c>
      <c r="H802" s="6">
        <v>5.6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8">
        <v>90.05</v>
      </c>
      <c r="U802" s="7">
        <v>460</v>
      </c>
      <c r="V802" s="6">
        <v>25</v>
      </c>
      <c r="W802" s="6">
        <v>0</v>
      </c>
      <c r="X802" s="6" t="s">
        <v>44</v>
      </c>
      <c r="Y802" s="6" t="s">
        <v>73</v>
      </c>
      <c r="Z802" s="6" t="s">
        <v>37</v>
      </c>
      <c r="AA802" s="6" t="s">
        <v>80</v>
      </c>
      <c r="AB802" s="6" t="s">
        <v>37</v>
      </c>
      <c r="AC802" s="6" t="s">
        <v>59</v>
      </c>
      <c r="AD802" s="26" t="s">
        <v>86</v>
      </c>
      <c r="AE802" s="7">
        <v>505</v>
      </c>
      <c r="AF802" s="6">
        <v>570</v>
      </c>
      <c r="AG802" s="10">
        <v>11</v>
      </c>
      <c r="AH802" s="31" t="s">
        <v>41</v>
      </c>
    </row>
    <row r="803" ht="13.9" spans="1:34">
      <c r="A803" s="6">
        <v>7075</v>
      </c>
      <c r="B803" s="7">
        <v>0</v>
      </c>
      <c r="C803" s="6">
        <v>0</v>
      </c>
      <c r="D803" s="6">
        <v>1.6</v>
      </c>
      <c r="E803" s="6">
        <v>0</v>
      </c>
      <c r="F803" s="6">
        <v>2.5</v>
      </c>
      <c r="G803" s="6">
        <v>0.25</v>
      </c>
      <c r="H803" s="6">
        <v>5.6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8">
        <v>90.05</v>
      </c>
      <c r="U803" s="7">
        <v>460</v>
      </c>
      <c r="V803" s="6">
        <v>25</v>
      </c>
      <c r="W803" s="6">
        <v>0</v>
      </c>
      <c r="X803" s="6" t="s">
        <v>96</v>
      </c>
      <c r="Y803" s="6" t="s">
        <v>73</v>
      </c>
      <c r="Z803" s="6" t="s">
        <v>37</v>
      </c>
      <c r="AA803" s="6" t="s">
        <v>80</v>
      </c>
      <c r="AB803" s="6" t="s">
        <v>37</v>
      </c>
      <c r="AC803" s="6" t="s">
        <v>59</v>
      </c>
      <c r="AD803" s="26" t="s">
        <v>86</v>
      </c>
      <c r="AE803" s="7">
        <v>505</v>
      </c>
      <c r="AF803" s="6">
        <v>570</v>
      </c>
      <c r="AG803" s="10">
        <v>11</v>
      </c>
      <c r="AH803" s="31" t="s">
        <v>41</v>
      </c>
    </row>
    <row r="804" ht="13.9" spans="1:34">
      <c r="A804" s="6">
        <v>7075</v>
      </c>
      <c r="B804" s="7">
        <v>0</v>
      </c>
      <c r="C804" s="6">
        <v>0</v>
      </c>
      <c r="D804" s="6">
        <v>1.6</v>
      </c>
      <c r="E804" s="6">
        <v>0</v>
      </c>
      <c r="F804" s="6">
        <v>2.5</v>
      </c>
      <c r="G804" s="6">
        <v>0.25</v>
      </c>
      <c r="H804" s="6">
        <v>5.6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8">
        <v>90.05</v>
      </c>
      <c r="U804" s="7">
        <v>460</v>
      </c>
      <c r="V804" s="6">
        <v>25</v>
      </c>
      <c r="W804" s="6">
        <v>0</v>
      </c>
      <c r="X804" s="6" t="s">
        <v>44</v>
      </c>
      <c r="Y804" s="6" t="s">
        <v>73</v>
      </c>
      <c r="Z804" s="6" t="s">
        <v>37</v>
      </c>
      <c r="AA804" s="6" t="s">
        <v>80</v>
      </c>
      <c r="AB804" s="6" t="s">
        <v>37</v>
      </c>
      <c r="AC804" s="6" t="s">
        <v>43</v>
      </c>
      <c r="AD804" s="26" t="s">
        <v>86</v>
      </c>
      <c r="AE804" s="7">
        <v>505</v>
      </c>
      <c r="AF804" s="6">
        <v>570</v>
      </c>
      <c r="AG804" s="10">
        <v>11</v>
      </c>
      <c r="AH804" s="31" t="s">
        <v>41</v>
      </c>
    </row>
    <row r="805" ht="13.9" spans="1:34">
      <c r="A805" s="6">
        <v>7075</v>
      </c>
      <c r="B805" s="7">
        <v>0</v>
      </c>
      <c r="C805" s="6">
        <v>0</v>
      </c>
      <c r="D805" s="6">
        <v>1.6</v>
      </c>
      <c r="E805" s="6">
        <v>0</v>
      </c>
      <c r="F805" s="6">
        <v>2.5</v>
      </c>
      <c r="G805" s="6">
        <v>0.25</v>
      </c>
      <c r="H805" s="6">
        <v>5.6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8">
        <v>90.05</v>
      </c>
      <c r="U805" s="7">
        <v>460</v>
      </c>
      <c r="V805" s="6">
        <v>25</v>
      </c>
      <c r="W805" s="6">
        <v>0</v>
      </c>
      <c r="X805" s="6" t="s">
        <v>96</v>
      </c>
      <c r="Y805" s="6" t="s">
        <v>73</v>
      </c>
      <c r="Z805" s="6" t="s">
        <v>37</v>
      </c>
      <c r="AA805" s="6" t="s">
        <v>80</v>
      </c>
      <c r="AB805" s="6" t="s">
        <v>37</v>
      </c>
      <c r="AC805" s="6" t="s">
        <v>43</v>
      </c>
      <c r="AD805" s="26" t="s">
        <v>86</v>
      </c>
      <c r="AE805" s="7">
        <v>505</v>
      </c>
      <c r="AF805" s="6">
        <v>570</v>
      </c>
      <c r="AG805" s="10">
        <v>11</v>
      </c>
      <c r="AH805" s="31" t="s">
        <v>41</v>
      </c>
    </row>
    <row r="806" ht="13.9" spans="1:34">
      <c r="A806" s="6">
        <v>7075</v>
      </c>
      <c r="B806" s="7">
        <v>0</v>
      </c>
      <c r="C806" s="6">
        <v>0</v>
      </c>
      <c r="D806" s="6">
        <v>1.6</v>
      </c>
      <c r="E806" s="6">
        <v>0</v>
      </c>
      <c r="F806" s="6">
        <v>2.5</v>
      </c>
      <c r="G806" s="6">
        <v>0</v>
      </c>
      <c r="H806" s="6">
        <v>5.6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8">
        <f t="shared" ref="T806:T812" si="28">100-SUM(B806:S806)</f>
        <v>90.3</v>
      </c>
      <c r="U806" s="7">
        <v>460</v>
      </c>
      <c r="V806" s="6">
        <v>135</v>
      </c>
      <c r="W806" s="6">
        <v>12</v>
      </c>
      <c r="X806" s="6" t="s">
        <v>42</v>
      </c>
      <c r="Y806" s="6" t="s">
        <v>73</v>
      </c>
      <c r="Z806" s="6" t="s">
        <v>37</v>
      </c>
      <c r="AA806" s="6" t="s">
        <v>74</v>
      </c>
      <c r="AB806" s="6" t="s">
        <v>37</v>
      </c>
      <c r="AC806" s="6" t="s">
        <v>69</v>
      </c>
      <c r="AD806" s="26" t="s">
        <v>77</v>
      </c>
      <c r="AE806" s="7">
        <v>485</v>
      </c>
      <c r="AF806" s="6">
        <v>560</v>
      </c>
      <c r="AG806" s="10">
        <v>15</v>
      </c>
      <c r="AH806" s="31" t="s">
        <v>41</v>
      </c>
    </row>
    <row r="807" ht="13.9" spans="1:34">
      <c r="A807" s="6">
        <v>7075</v>
      </c>
      <c r="B807" s="7">
        <v>0</v>
      </c>
      <c r="C807" s="6">
        <v>0</v>
      </c>
      <c r="D807" s="6">
        <v>1.6</v>
      </c>
      <c r="E807" s="6">
        <v>0</v>
      </c>
      <c r="F807" s="6">
        <v>2.5</v>
      </c>
      <c r="G807" s="6">
        <v>0.25</v>
      </c>
      <c r="H807" s="6">
        <v>5.6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8">
        <f t="shared" si="28"/>
        <v>90.05</v>
      </c>
      <c r="U807" s="7">
        <v>465</v>
      </c>
      <c r="V807" s="6">
        <v>110</v>
      </c>
      <c r="W807" s="36" t="s">
        <v>183</v>
      </c>
      <c r="X807" s="6" t="s">
        <v>44</v>
      </c>
      <c r="Y807" s="6" t="s">
        <v>73</v>
      </c>
      <c r="Z807" s="6" t="s">
        <v>37</v>
      </c>
      <c r="AA807" s="6" t="s">
        <v>118</v>
      </c>
      <c r="AB807" s="6" t="s">
        <v>37</v>
      </c>
      <c r="AC807" s="6" t="s">
        <v>97</v>
      </c>
      <c r="AD807" s="26" t="s">
        <v>119</v>
      </c>
      <c r="AE807" s="7">
        <v>435</v>
      </c>
      <c r="AF807" s="6">
        <v>505</v>
      </c>
      <c r="AG807" s="6">
        <v>13</v>
      </c>
      <c r="AH807" s="31" t="s">
        <v>41</v>
      </c>
    </row>
    <row r="808" ht="13.9" spans="1:34">
      <c r="A808" s="6">
        <v>7075</v>
      </c>
      <c r="B808" s="7">
        <v>0</v>
      </c>
      <c r="C808" s="6">
        <v>0</v>
      </c>
      <c r="D808" s="6">
        <v>1.6</v>
      </c>
      <c r="E808" s="6">
        <v>0</v>
      </c>
      <c r="F808" s="6">
        <v>2.5</v>
      </c>
      <c r="G808" s="6">
        <v>0.25</v>
      </c>
      <c r="H808" s="6">
        <v>5.6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8">
        <f t="shared" si="28"/>
        <v>90.05</v>
      </c>
      <c r="U808" s="7">
        <v>465</v>
      </c>
      <c r="V808" s="6">
        <v>120</v>
      </c>
      <c r="W808" s="36" t="s">
        <v>184</v>
      </c>
      <c r="X808" s="6" t="s">
        <v>44</v>
      </c>
      <c r="Y808" s="6" t="s">
        <v>73</v>
      </c>
      <c r="Z808" s="6" t="s">
        <v>37</v>
      </c>
      <c r="AA808" s="6" t="s">
        <v>118</v>
      </c>
      <c r="AB808" s="6" t="s">
        <v>37</v>
      </c>
      <c r="AC808" s="6" t="s">
        <v>97</v>
      </c>
      <c r="AD808" s="26" t="s">
        <v>119</v>
      </c>
      <c r="AE808" s="7">
        <v>435</v>
      </c>
      <c r="AF808" s="6">
        <v>505</v>
      </c>
      <c r="AG808" s="6">
        <v>13</v>
      </c>
      <c r="AH808" s="31" t="s">
        <v>41</v>
      </c>
    </row>
    <row r="809" ht="13.9" spans="1:34">
      <c r="A809" s="6">
        <v>7075</v>
      </c>
      <c r="B809" s="7">
        <v>0</v>
      </c>
      <c r="C809" s="6">
        <v>0</v>
      </c>
      <c r="D809" s="6">
        <v>1.6</v>
      </c>
      <c r="E809" s="6">
        <v>0</v>
      </c>
      <c r="F809" s="6">
        <v>2.5</v>
      </c>
      <c r="G809" s="6">
        <v>0.25</v>
      </c>
      <c r="H809" s="6">
        <v>5.6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8">
        <f t="shared" si="28"/>
        <v>90.05</v>
      </c>
      <c r="U809" s="7">
        <v>465</v>
      </c>
      <c r="V809" s="6">
        <v>177</v>
      </c>
      <c r="W809" s="36" t="s">
        <v>185</v>
      </c>
      <c r="X809" s="6" t="s">
        <v>44</v>
      </c>
      <c r="Y809" s="6" t="s">
        <v>73</v>
      </c>
      <c r="Z809" s="6" t="s">
        <v>37</v>
      </c>
      <c r="AA809" s="6" t="s">
        <v>118</v>
      </c>
      <c r="AB809" s="6" t="s">
        <v>37</v>
      </c>
      <c r="AC809" s="6" t="s">
        <v>97</v>
      </c>
      <c r="AD809" s="26" t="s">
        <v>119</v>
      </c>
      <c r="AE809" s="7">
        <v>435</v>
      </c>
      <c r="AF809" s="6">
        <v>505</v>
      </c>
      <c r="AG809" s="6">
        <v>13</v>
      </c>
      <c r="AH809" s="31" t="s">
        <v>41</v>
      </c>
    </row>
    <row r="810" ht="13.9" spans="1:34">
      <c r="A810" s="6">
        <v>7075</v>
      </c>
      <c r="B810" s="7">
        <v>0</v>
      </c>
      <c r="C810" s="6">
        <v>0</v>
      </c>
      <c r="D810" s="6">
        <v>1.6</v>
      </c>
      <c r="E810" s="6">
        <v>0</v>
      </c>
      <c r="F810" s="6">
        <v>2.5</v>
      </c>
      <c r="G810" s="6">
        <v>0.25</v>
      </c>
      <c r="H810" s="6">
        <v>5.6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8">
        <f t="shared" si="28"/>
        <v>90.05</v>
      </c>
      <c r="U810" s="7">
        <v>465</v>
      </c>
      <c r="V810" s="6">
        <v>110</v>
      </c>
      <c r="W810" s="36" t="s">
        <v>183</v>
      </c>
      <c r="X810" s="6" t="s">
        <v>96</v>
      </c>
      <c r="Y810" s="6" t="s">
        <v>73</v>
      </c>
      <c r="Z810" s="6" t="s">
        <v>37</v>
      </c>
      <c r="AA810" s="6" t="s">
        <v>118</v>
      </c>
      <c r="AB810" s="6" t="s">
        <v>37</v>
      </c>
      <c r="AC810" s="6" t="s">
        <v>97</v>
      </c>
      <c r="AD810" s="26" t="s">
        <v>119</v>
      </c>
      <c r="AE810" s="7">
        <v>435</v>
      </c>
      <c r="AF810" s="6">
        <v>505</v>
      </c>
      <c r="AG810" s="6">
        <v>13</v>
      </c>
      <c r="AH810" s="31" t="s">
        <v>41</v>
      </c>
    </row>
    <row r="811" ht="13.9" spans="1:34">
      <c r="A811" s="6">
        <v>7075</v>
      </c>
      <c r="B811" s="7">
        <v>0</v>
      </c>
      <c r="C811" s="6">
        <v>0</v>
      </c>
      <c r="D811" s="6">
        <v>1.6</v>
      </c>
      <c r="E811" s="6">
        <v>0</v>
      </c>
      <c r="F811" s="6">
        <v>2.5</v>
      </c>
      <c r="G811" s="6">
        <v>0.25</v>
      </c>
      <c r="H811" s="6">
        <v>5.6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8">
        <f t="shared" si="28"/>
        <v>90.05</v>
      </c>
      <c r="U811" s="7">
        <v>465</v>
      </c>
      <c r="V811" s="6">
        <v>120</v>
      </c>
      <c r="W811" s="36" t="s">
        <v>184</v>
      </c>
      <c r="X811" s="6" t="s">
        <v>96</v>
      </c>
      <c r="Y811" s="6" t="s">
        <v>73</v>
      </c>
      <c r="Z811" s="6" t="s">
        <v>37</v>
      </c>
      <c r="AA811" s="6" t="s">
        <v>118</v>
      </c>
      <c r="AB811" s="6" t="s">
        <v>37</v>
      </c>
      <c r="AC811" s="6" t="s">
        <v>97</v>
      </c>
      <c r="AD811" s="26" t="s">
        <v>119</v>
      </c>
      <c r="AE811" s="7">
        <v>435</v>
      </c>
      <c r="AF811" s="6">
        <v>505</v>
      </c>
      <c r="AG811" s="6">
        <v>13</v>
      </c>
      <c r="AH811" s="31" t="s">
        <v>41</v>
      </c>
    </row>
    <row r="812" ht="13.9" spans="1:34">
      <c r="A812" s="6">
        <v>7075</v>
      </c>
      <c r="B812" s="7">
        <v>0</v>
      </c>
      <c r="C812" s="6">
        <v>0</v>
      </c>
      <c r="D812" s="6">
        <v>1.6</v>
      </c>
      <c r="E812" s="6">
        <v>0</v>
      </c>
      <c r="F812" s="6">
        <v>2.5</v>
      </c>
      <c r="G812" s="6">
        <v>0.25</v>
      </c>
      <c r="H812" s="6">
        <v>5.6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8">
        <f t="shared" si="28"/>
        <v>90.05</v>
      </c>
      <c r="U812" s="7">
        <v>465</v>
      </c>
      <c r="V812" s="6">
        <v>177</v>
      </c>
      <c r="W812" s="36" t="s">
        <v>185</v>
      </c>
      <c r="X812" s="6" t="s">
        <v>96</v>
      </c>
      <c r="Y812" s="6" t="s">
        <v>73</v>
      </c>
      <c r="Z812" s="6" t="s">
        <v>37</v>
      </c>
      <c r="AA812" s="6" t="s">
        <v>118</v>
      </c>
      <c r="AB812" s="6" t="s">
        <v>37</v>
      </c>
      <c r="AC812" s="6" t="s">
        <v>97</v>
      </c>
      <c r="AD812" s="26" t="s">
        <v>119</v>
      </c>
      <c r="AE812" s="7">
        <v>435</v>
      </c>
      <c r="AF812" s="6">
        <v>505</v>
      </c>
      <c r="AG812" s="6">
        <v>13</v>
      </c>
      <c r="AH812" s="31" t="s">
        <v>41</v>
      </c>
    </row>
    <row r="813" ht="13.9" spans="1:34">
      <c r="A813" s="6">
        <v>7075</v>
      </c>
      <c r="B813" s="7">
        <v>0</v>
      </c>
      <c r="C813" s="6">
        <v>0</v>
      </c>
      <c r="D813" s="6">
        <v>1.6</v>
      </c>
      <c r="E813" s="6">
        <v>0</v>
      </c>
      <c r="F813" s="6">
        <v>2.5</v>
      </c>
      <c r="G813" s="6">
        <v>0.25</v>
      </c>
      <c r="H813" s="6">
        <v>5.6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8">
        <v>90.05</v>
      </c>
      <c r="U813" s="7">
        <v>465</v>
      </c>
      <c r="V813" s="6">
        <v>110</v>
      </c>
      <c r="W813" s="36" t="s">
        <v>183</v>
      </c>
      <c r="X813" s="6" t="s">
        <v>44</v>
      </c>
      <c r="Y813" s="6" t="s">
        <v>73</v>
      </c>
      <c r="Z813" s="6" t="s">
        <v>37</v>
      </c>
      <c r="AA813" s="6" t="s">
        <v>118</v>
      </c>
      <c r="AB813" s="6" t="s">
        <v>37</v>
      </c>
      <c r="AC813" s="6" t="s">
        <v>59</v>
      </c>
      <c r="AD813" s="26" t="s">
        <v>119</v>
      </c>
      <c r="AE813" s="7">
        <v>435</v>
      </c>
      <c r="AF813" s="6">
        <v>505</v>
      </c>
      <c r="AG813" s="6">
        <v>13</v>
      </c>
      <c r="AH813" s="31" t="s">
        <v>41</v>
      </c>
    </row>
    <row r="814" ht="13.9" spans="1:34">
      <c r="A814" s="6">
        <v>7075</v>
      </c>
      <c r="B814" s="7">
        <v>0</v>
      </c>
      <c r="C814" s="6">
        <v>0</v>
      </c>
      <c r="D814" s="6">
        <v>1.6</v>
      </c>
      <c r="E814" s="6">
        <v>0</v>
      </c>
      <c r="F814" s="6">
        <v>2.5</v>
      </c>
      <c r="G814" s="6">
        <v>0.25</v>
      </c>
      <c r="H814" s="6">
        <v>5.6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8">
        <v>90.05</v>
      </c>
      <c r="U814" s="7">
        <v>465</v>
      </c>
      <c r="V814" s="6">
        <v>120</v>
      </c>
      <c r="W814" s="36" t="s">
        <v>184</v>
      </c>
      <c r="X814" s="6" t="s">
        <v>44</v>
      </c>
      <c r="Y814" s="6" t="s">
        <v>73</v>
      </c>
      <c r="Z814" s="6" t="s">
        <v>37</v>
      </c>
      <c r="AA814" s="6" t="s">
        <v>118</v>
      </c>
      <c r="AB814" s="6" t="s">
        <v>37</v>
      </c>
      <c r="AC814" s="6" t="s">
        <v>59</v>
      </c>
      <c r="AD814" s="26" t="s">
        <v>119</v>
      </c>
      <c r="AE814" s="7">
        <v>435</v>
      </c>
      <c r="AF814" s="6">
        <v>505</v>
      </c>
      <c r="AG814" s="6">
        <v>13</v>
      </c>
      <c r="AH814" s="31" t="s">
        <v>41</v>
      </c>
    </row>
    <row r="815" ht="13.9" spans="1:34">
      <c r="A815" s="6">
        <v>7075</v>
      </c>
      <c r="B815" s="7">
        <v>0</v>
      </c>
      <c r="C815" s="6">
        <v>0</v>
      </c>
      <c r="D815" s="6">
        <v>1.6</v>
      </c>
      <c r="E815" s="6">
        <v>0</v>
      </c>
      <c r="F815" s="6">
        <v>2.5</v>
      </c>
      <c r="G815" s="6">
        <v>0.25</v>
      </c>
      <c r="H815" s="6">
        <v>5.6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8">
        <v>90.05</v>
      </c>
      <c r="U815" s="7">
        <v>465</v>
      </c>
      <c r="V815" s="6">
        <v>177</v>
      </c>
      <c r="W815" s="36" t="s">
        <v>185</v>
      </c>
      <c r="X815" s="6" t="s">
        <v>44</v>
      </c>
      <c r="Y815" s="6" t="s">
        <v>73</v>
      </c>
      <c r="Z815" s="6" t="s">
        <v>37</v>
      </c>
      <c r="AA815" s="6" t="s">
        <v>118</v>
      </c>
      <c r="AB815" s="6" t="s">
        <v>37</v>
      </c>
      <c r="AC815" s="6" t="s">
        <v>59</v>
      </c>
      <c r="AD815" s="26" t="s">
        <v>119</v>
      </c>
      <c r="AE815" s="7">
        <v>435</v>
      </c>
      <c r="AF815" s="6">
        <v>505</v>
      </c>
      <c r="AG815" s="6">
        <v>13</v>
      </c>
      <c r="AH815" s="31" t="s">
        <v>41</v>
      </c>
    </row>
    <row r="816" ht="13.9" spans="1:34">
      <c r="A816" s="6">
        <v>7075</v>
      </c>
      <c r="B816" s="7">
        <v>0</v>
      </c>
      <c r="C816" s="6">
        <v>0</v>
      </c>
      <c r="D816" s="6">
        <v>1.6</v>
      </c>
      <c r="E816" s="6">
        <v>0</v>
      </c>
      <c r="F816" s="6">
        <v>2.5</v>
      </c>
      <c r="G816" s="6">
        <v>0.25</v>
      </c>
      <c r="H816" s="6">
        <v>5.6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8">
        <v>90.05</v>
      </c>
      <c r="U816" s="7">
        <v>465</v>
      </c>
      <c r="V816" s="6">
        <v>110</v>
      </c>
      <c r="W816" s="36" t="s">
        <v>183</v>
      </c>
      <c r="X816" s="6" t="s">
        <v>96</v>
      </c>
      <c r="Y816" s="6" t="s">
        <v>73</v>
      </c>
      <c r="Z816" s="6" t="s">
        <v>37</v>
      </c>
      <c r="AA816" s="6" t="s">
        <v>118</v>
      </c>
      <c r="AB816" s="6" t="s">
        <v>37</v>
      </c>
      <c r="AC816" s="6" t="s">
        <v>59</v>
      </c>
      <c r="AD816" s="26" t="s">
        <v>119</v>
      </c>
      <c r="AE816" s="7">
        <v>435</v>
      </c>
      <c r="AF816" s="6">
        <v>505</v>
      </c>
      <c r="AG816" s="6">
        <v>13</v>
      </c>
      <c r="AH816" s="31" t="s">
        <v>41</v>
      </c>
    </row>
    <row r="817" ht="13.9" spans="1:34">
      <c r="A817" s="6">
        <v>7075</v>
      </c>
      <c r="B817" s="7">
        <v>0</v>
      </c>
      <c r="C817" s="6">
        <v>0</v>
      </c>
      <c r="D817" s="6">
        <v>1.6</v>
      </c>
      <c r="E817" s="6">
        <v>0</v>
      </c>
      <c r="F817" s="6">
        <v>2.5</v>
      </c>
      <c r="G817" s="6">
        <v>0.25</v>
      </c>
      <c r="H817" s="6">
        <v>5.6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8">
        <v>90.05</v>
      </c>
      <c r="U817" s="7">
        <v>465</v>
      </c>
      <c r="V817" s="6">
        <v>120</v>
      </c>
      <c r="W817" s="36" t="s">
        <v>184</v>
      </c>
      <c r="X817" s="6" t="s">
        <v>96</v>
      </c>
      <c r="Y817" s="6" t="s">
        <v>73</v>
      </c>
      <c r="Z817" s="6" t="s">
        <v>37</v>
      </c>
      <c r="AA817" s="6" t="s">
        <v>118</v>
      </c>
      <c r="AB817" s="6" t="s">
        <v>37</v>
      </c>
      <c r="AC817" s="6" t="s">
        <v>59</v>
      </c>
      <c r="AD817" s="26" t="s">
        <v>119</v>
      </c>
      <c r="AE817" s="7">
        <v>435</v>
      </c>
      <c r="AF817" s="6">
        <v>505</v>
      </c>
      <c r="AG817" s="6">
        <v>13</v>
      </c>
      <c r="AH817" s="31" t="s">
        <v>41</v>
      </c>
    </row>
    <row r="818" ht="13.9" spans="1:34">
      <c r="A818" s="6">
        <v>7075</v>
      </c>
      <c r="B818" s="7">
        <v>0</v>
      </c>
      <c r="C818" s="6">
        <v>0</v>
      </c>
      <c r="D818" s="6">
        <v>1.6</v>
      </c>
      <c r="E818" s="6">
        <v>0</v>
      </c>
      <c r="F818" s="6">
        <v>2.5</v>
      </c>
      <c r="G818" s="6">
        <v>0.25</v>
      </c>
      <c r="H818" s="6">
        <v>5.6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8">
        <v>90.05</v>
      </c>
      <c r="U818" s="7">
        <v>465</v>
      </c>
      <c r="V818" s="6">
        <v>177</v>
      </c>
      <c r="W818" s="36" t="s">
        <v>185</v>
      </c>
      <c r="X818" s="6" t="s">
        <v>96</v>
      </c>
      <c r="Y818" s="6" t="s">
        <v>73</v>
      </c>
      <c r="Z818" s="6" t="s">
        <v>37</v>
      </c>
      <c r="AA818" s="6" t="s">
        <v>118</v>
      </c>
      <c r="AB818" s="6" t="s">
        <v>37</v>
      </c>
      <c r="AC818" s="6" t="s">
        <v>59</v>
      </c>
      <c r="AD818" s="26" t="s">
        <v>119</v>
      </c>
      <c r="AE818" s="7">
        <v>435</v>
      </c>
      <c r="AF818" s="6">
        <v>505</v>
      </c>
      <c r="AG818" s="6">
        <v>13</v>
      </c>
      <c r="AH818" s="31" t="s">
        <v>41</v>
      </c>
    </row>
    <row r="819" ht="13.9" spans="1:34">
      <c r="A819" s="6">
        <v>7075</v>
      </c>
      <c r="B819" s="7">
        <v>0</v>
      </c>
      <c r="C819" s="6">
        <v>0</v>
      </c>
      <c r="D819" s="6">
        <v>1.6</v>
      </c>
      <c r="E819" s="6">
        <v>0</v>
      </c>
      <c r="F819" s="6">
        <v>2.5</v>
      </c>
      <c r="G819" s="6">
        <v>0.25</v>
      </c>
      <c r="H819" s="6">
        <v>5.6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8">
        <v>90.05</v>
      </c>
      <c r="U819" s="7">
        <v>465</v>
      </c>
      <c r="V819" s="6">
        <v>110</v>
      </c>
      <c r="W819" s="36" t="s">
        <v>183</v>
      </c>
      <c r="X819" s="6" t="s">
        <v>44</v>
      </c>
      <c r="Y819" s="6" t="s">
        <v>73</v>
      </c>
      <c r="Z819" s="6" t="s">
        <v>37</v>
      </c>
      <c r="AA819" s="6" t="s">
        <v>118</v>
      </c>
      <c r="AB819" s="6" t="s">
        <v>37</v>
      </c>
      <c r="AC819" s="6" t="s">
        <v>43</v>
      </c>
      <c r="AD819" s="26" t="s">
        <v>119</v>
      </c>
      <c r="AE819" s="7">
        <v>435</v>
      </c>
      <c r="AF819" s="6">
        <v>505</v>
      </c>
      <c r="AG819" s="6">
        <v>13</v>
      </c>
      <c r="AH819" s="31" t="s">
        <v>41</v>
      </c>
    </row>
    <row r="820" ht="13.9" spans="1:34">
      <c r="A820" s="6">
        <v>7075</v>
      </c>
      <c r="B820" s="7">
        <v>0</v>
      </c>
      <c r="C820" s="6">
        <v>0</v>
      </c>
      <c r="D820" s="6">
        <v>1.6</v>
      </c>
      <c r="E820" s="6">
        <v>0</v>
      </c>
      <c r="F820" s="6">
        <v>2.5</v>
      </c>
      <c r="G820" s="6">
        <v>0.25</v>
      </c>
      <c r="H820" s="6">
        <v>5.6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8">
        <v>90.05</v>
      </c>
      <c r="U820" s="7">
        <v>465</v>
      </c>
      <c r="V820" s="6">
        <v>120</v>
      </c>
      <c r="W820" s="36" t="s">
        <v>184</v>
      </c>
      <c r="X820" s="6" t="s">
        <v>44</v>
      </c>
      <c r="Y820" s="6" t="s">
        <v>73</v>
      </c>
      <c r="Z820" s="6" t="s">
        <v>37</v>
      </c>
      <c r="AA820" s="6" t="s">
        <v>118</v>
      </c>
      <c r="AB820" s="6" t="s">
        <v>37</v>
      </c>
      <c r="AC820" s="6" t="s">
        <v>43</v>
      </c>
      <c r="AD820" s="26" t="s">
        <v>119</v>
      </c>
      <c r="AE820" s="7">
        <v>435</v>
      </c>
      <c r="AF820" s="6">
        <v>505</v>
      </c>
      <c r="AG820" s="6">
        <v>13</v>
      </c>
      <c r="AH820" s="31" t="s">
        <v>41</v>
      </c>
    </row>
    <row r="821" ht="13.9" spans="1:34">
      <c r="A821" s="6">
        <v>7075</v>
      </c>
      <c r="B821" s="7">
        <v>0</v>
      </c>
      <c r="C821" s="6">
        <v>0</v>
      </c>
      <c r="D821" s="6">
        <v>1.6</v>
      </c>
      <c r="E821" s="6">
        <v>0</v>
      </c>
      <c r="F821" s="6">
        <v>2.5</v>
      </c>
      <c r="G821" s="6">
        <v>0.25</v>
      </c>
      <c r="H821" s="6">
        <v>5.6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8">
        <v>90.05</v>
      </c>
      <c r="U821" s="7">
        <v>465</v>
      </c>
      <c r="V821" s="6">
        <v>177</v>
      </c>
      <c r="W821" s="36" t="s">
        <v>185</v>
      </c>
      <c r="X821" s="6" t="s">
        <v>44</v>
      </c>
      <c r="Y821" s="6" t="s">
        <v>73</v>
      </c>
      <c r="Z821" s="6" t="s">
        <v>37</v>
      </c>
      <c r="AA821" s="6" t="s">
        <v>118</v>
      </c>
      <c r="AB821" s="6" t="s">
        <v>37</v>
      </c>
      <c r="AC821" s="6" t="s">
        <v>43</v>
      </c>
      <c r="AD821" s="26" t="s">
        <v>119</v>
      </c>
      <c r="AE821" s="7">
        <v>435</v>
      </c>
      <c r="AF821" s="6">
        <v>505</v>
      </c>
      <c r="AG821" s="6">
        <v>13</v>
      </c>
      <c r="AH821" s="31" t="s">
        <v>41</v>
      </c>
    </row>
    <row r="822" ht="13.9" spans="1:34">
      <c r="A822" s="6">
        <v>7075</v>
      </c>
      <c r="B822" s="7">
        <v>0</v>
      </c>
      <c r="C822" s="6">
        <v>0</v>
      </c>
      <c r="D822" s="6">
        <v>1.6</v>
      </c>
      <c r="E822" s="6">
        <v>0</v>
      </c>
      <c r="F822" s="6">
        <v>2.5</v>
      </c>
      <c r="G822" s="6">
        <v>0.25</v>
      </c>
      <c r="H822" s="6">
        <v>5.6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8">
        <v>90.05</v>
      </c>
      <c r="U822" s="7">
        <v>465</v>
      </c>
      <c r="V822" s="6">
        <v>110</v>
      </c>
      <c r="W822" s="36" t="s">
        <v>183</v>
      </c>
      <c r="X822" s="6" t="s">
        <v>96</v>
      </c>
      <c r="Y822" s="6" t="s">
        <v>73</v>
      </c>
      <c r="Z822" s="6" t="s">
        <v>37</v>
      </c>
      <c r="AA822" s="6" t="s">
        <v>118</v>
      </c>
      <c r="AB822" s="6" t="s">
        <v>37</v>
      </c>
      <c r="AC822" s="6" t="s">
        <v>43</v>
      </c>
      <c r="AD822" s="26" t="s">
        <v>119</v>
      </c>
      <c r="AE822" s="7">
        <v>435</v>
      </c>
      <c r="AF822" s="6">
        <v>505</v>
      </c>
      <c r="AG822" s="6">
        <v>13</v>
      </c>
      <c r="AH822" s="31" t="s">
        <v>41</v>
      </c>
    </row>
    <row r="823" ht="13.9" spans="1:34">
      <c r="A823" s="6">
        <v>7075</v>
      </c>
      <c r="B823" s="7">
        <v>0</v>
      </c>
      <c r="C823" s="6">
        <v>0</v>
      </c>
      <c r="D823" s="6">
        <v>1.6</v>
      </c>
      <c r="E823" s="6">
        <v>0</v>
      </c>
      <c r="F823" s="6">
        <v>2.5</v>
      </c>
      <c r="G823" s="6">
        <v>0.25</v>
      </c>
      <c r="H823" s="6">
        <v>5.6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8">
        <v>90.05</v>
      </c>
      <c r="U823" s="7">
        <v>465</v>
      </c>
      <c r="V823" s="6">
        <v>120</v>
      </c>
      <c r="W823" s="36" t="s">
        <v>184</v>
      </c>
      <c r="X823" s="6" t="s">
        <v>96</v>
      </c>
      <c r="Y823" s="6" t="s">
        <v>73</v>
      </c>
      <c r="Z823" s="6" t="s">
        <v>37</v>
      </c>
      <c r="AA823" s="6" t="s">
        <v>118</v>
      </c>
      <c r="AB823" s="6" t="s">
        <v>37</v>
      </c>
      <c r="AC823" s="6" t="s">
        <v>43</v>
      </c>
      <c r="AD823" s="26" t="s">
        <v>119</v>
      </c>
      <c r="AE823" s="7">
        <v>435</v>
      </c>
      <c r="AF823" s="6">
        <v>505</v>
      </c>
      <c r="AG823" s="6">
        <v>13</v>
      </c>
      <c r="AH823" s="31" t="s">
        <v>41</v>
      </c>
    </row>
    <row r="824" ht="13.9" spans="1:34">
      <c r="A824" s="6">
        <v>7075</v>
      </c>
      <c r="B824" s="7">
        <v>0</v>
      </c>
      <c r="C824" s="6">
        <v>0</v>
      </c>
      <c r="D824" s="6">
        <v>1.6</v>
      </c>
      <c r="E824" s="6">
        <v>0</v>
      </c>
      <c r="F824" s="6">
        <v>2.5</v>
      </c>
      <c r="G824" s="6">
        <v>0.25</v>
      </c>
      <c r="H824" s="6">
        <v>5.6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8">
        <v>90.05</v>
      </c>
      <c r="U824" s="7">
        <v>465</v>
      </c>
      <c r="V824" s="6">
        <v>177</v>
      </c>
      <c r="W824" s="36" t="s">
        <v>185</v>
      </c>
      <c r="X824" s="6" t="s">
        <v>96</v>
      </c>
      <c r="Y824" s="6" t="s">
        <v>73</v>
      </c>
      <c r="Z824" s="6" t="s">
        <v>37</v>
      </c>
      <c r="AA824" s="6" t="s">
        <v>118</v>
      </c>
      <c r="AB824" s="6" t="s">
        <v>37</v>
      </c>
      <c r="AC824" s="6" t="s">
        <v>43</v>
      </c>
      <c r="AD824" s="26" t="s">
        <v>119</v>
      </c>
      <c r="AE824" s="7">
        <v>435</v>
      </c>
      <c r="AF824" s="6">
        <v>505</v>
      </c>
      <c r="AG824" s="6">
        <v>13</v>
      </c>
      <c r="AH824" s="31" t="s">
        <v>41</v>
      </c>
    </row>
    <row r="825" ht="13.9" spans="1:34">
      <c r="A825" s="6">
        <v>7075</v>
      </c>
      <c r="B825" s="7">
        <v>0</v>
      </c>
      <c r="C825" s="6">
        <v>0</v>
      </c>
      <c r="D825" s="6">
        <v>1.6</v>
      </c>
      <c r="E825" s="6">
        <v>0</v>
      </c>
      <c r="F825" s="6">
        <v>2.5</v>
      </c>
      <c r="G825" s="6">
        <v>0.25</v>
      </c>
      <c r="H825" s="6">
        <v>5.6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8">
        <f>100-SUM(B825:S825)</f>
        <v>90.05</v>
      </c>
      <c r="U825" s="7">
        <v>25</v>
      </c>
      <c r="V825" s="6">
        <v>25</v>
      </c>
      <c r="W825" s="6">
        <v>0</v>
      </c>
      <c r="X825" s="6" t="s">
        <v>44</v>
      </c>
      <c r="Y825" s="6" t="s">
        <v>50</v>
      </c>
      <c r="Z825" s="6" t="s">
        <v>48</v>
      </c>
      <c r="AA825" s="6" t="s">
        <v>37</v>
      </c>
      <c r="AB825" s="6" t="s">
        <v>37</v>
      </c>
      <c r="AC825" s="6" t="s">
        <v>97</v>
      </c>
      <c r="AD825" s="26" t="s">
        <v>57</v>
      </c>
      <c r="AE825" s="7">
        <v>105</v>
      </c>
      <c r="AF825" s="6">
        <v>230</v>
      </c>
      <c r="AG825" s="10">
        <v>17</v>
      </c>
      <c r="AH825" s="31" t="s">
        <v>41</v>
      </c>
    </row>
    <row r="826" ht="13.9" spans="1:34">
      <c r="A826" s="6">
        <v>7075</v>
      </c>
      <c r="B826" s="7">
        <v>0</v>
      </c>
      <c r="C826" s="6">
        <v>0</v>
      </c>
      <c r="D826" s="6">
        <v>1.6</v>
      </c>
      <c r="E826" s="6">
        <v>0</v>
      </c>
      <c r="F826" s="6">
        <v>2.5</v>
      </c>
      <c r="G826" s="6">
        <v>0.25</v>
      </c>
      <c r="H826" s="6">
        <v>5.6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8">
        <f>100-SUM(B826:S826)</f>
        <v>90.05</v>
      </c>
      <c r="U826" s="7">
        <v>25</v>
      </c>
      <c r="V826" s="6">
        <v>25</v>
      </c>
      <c r="W826" s="6">
        <v>0</v>
      </c>
      <c r="X826" s="6" t="s">
        <v>96</v>
      </c>
      <c r="Y826" s="6" t="s">
        <v>50</v>
      </c>
      <c r="Z826" s="6" t="s">
        <v>48</v>
      </c>
      <c r="AA826" s="6" t="s">
        <v>37</v>
      </c>
      <c r="AB826" s="6" t="s">
        <v>37</v>
      </c>
      <c r="AC826" s="6" t="s">
        <v>97</v>
      </c>
      <c r="AD826" s="26" t="s">
        <v>49</v>
      </c>
      <c r="AE826" s="7">
        <v>105</v>
      </c>
      <c r="AF826" s="6">
        <v>230</v>
      </c>
      <c r="AG826" s="10">
        <v>17</v>
      </c>
      <c r="AH826" s="31" t="s">
        <v>41</v>
      </c>
    </row>
    <row r="827" ht="13.9" spans="1:34">
      <c r="A827" s="6">
        <v>7075</v>
      </c>
      <c r="B827" s="7">
        <v>0</v>
      </c>
      <c r="C827" s="6">
        <v>0</v>
      </c>
      <c r="D827" s="6">
        <v>1.6</v>
      </c>
      <c r="E827" s="6">
        <v>0</v>
      </c>
      <c r="F827" s="6">
        <v>2.5</v>
      </c>
      <c r="G827" s="6">
        <v>0.25</v>
      </c>
      <c r="H827" s="6">
        <v>5.6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8">
        <v>90.05</v>
      </c>
      <c r="U827" s="7">
        <v>25</v>
      </c>
      <c r="V827" s="6">
        <v>25</v>
      </c>
      <c r="W827" s="6">
        <v>0</v>
      </c>
      <c r="X827" s="6" t="s">
        <v>44</v>
      </c>
      <c r="Y827" s="6" t="s">
        <v>50</v>
      </c>
      <c r="Z827" s="6" t="s">
        <v>48</v>
      </c>
      <c r="AA827" s="6" t="s">
        <v>37</v>
      </c>
      <c r="AB827" s="6" t="s">
        <v>37</v>
      </c>
      <c r="AC827" s="6" t="s">
        <v>59</v>
      </c>
      <c r="AD827" s="26" t="s">
        <v>57</v>
      </c>
      <c r="AE827" s="7">
        <v>105</v>
      </c>
      <c r="AF827" s="6">
        <v>230</v>
      </c>
      <c r="AG827" s="10">
        <v>17</v>
      </c>
      <c r="AH827" s="31" t="s">
        <v>41</v>
      </c>
    </row>
    <row r="828" ht="13.9" spans="1:34">
      <c r="A828" s="6">
        <v>7075</v>
      </c>
      <c r="B828" s="7">
        <v>0</v>
      </c>
      <c r="C828" s="6">
        <v>0</v>
      </c>
      <c r="D828" s="6">
        <v>1.6</v>
      </c>
      <c r="E828" s="6">
        <v>0</v>
      </c>
      <c r="F828" s="6">
        <v>2.5</v>
      </c>
      <c r="G828" s="6">
        <v>0.25</v>
      </c>
      <c r="H828" s="6">
        <v>5.6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8">
        <v>90.05</v>
      </c>
      <c r="U828" s="7">
        <v>25</v>
      </c>
      <c r="V828" s="6">
        <v>25</v>
      </c>
      <c r="W828" s="6">
        <v>0</v>
      </c>
      <c r="X828" s="6" t="s">
        <v>96</v>
      </c>
      <c r="Y828" s="6" t="s">
        <v>50</v>
      </c>
      <c r="Z828" s="6" t="s">
        <v>48</v>
      </c>
      <c r="AA828" s="6" t="s">
        <v>37</v>
      </c>
      <c r="AB828" s="6" t="s">
        <v>37</v>
      </c>
      <c r="AC828" s="6" t="s">
        <v>59</v>
      </c>
      <c r="AD828" s="26" t="s">
        <v>49</v>
      </c>
      <c r="AE828" s="7">
        <v>105</v>
      </c>
      <c r="AF828" s="6">
        <v>230</v>
      </c>
      <c r="AG828" s="10">
        <v>17</v>
      </c>
      <c r="AH828" s="31" t="s">
        <v>41</v>
      </c>
    </row>
    <row r="829" ht="13.9" spans="1:34">
      <c r="A829" s="6">
        <v>7075</v>
      </c>
      <c r="B829" s="7">
        <v>0</v>
      </c>
      <c r="C829" s="6">
        <v>0</v>
      </c>
      <c r="D829" s="6">
        <v>1.6</v>
      </c>
      <c r="E829" s="6">
        <v>0</v>
      </c>
      <c r="F829" s="6">
        <v>2.5</v>
      </c>
      <c r="G829" s="6">
        <v>0.25</v>
      </c>
      <c r="H829" s="6">
        <v>5.6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8">
        <v>90.05</v>
      </c>
      <c r="U829" s="7">
        <v>25</v>
      </c>
      <c r="V829" s="6">
        <v>25</v>
      </c>
      <c r="W829" s="6">
        <v>0</v>
      </c>
      <c r="X829" s="6" t="s">
        <v>44</v>
      </c>
      <c r="Y829" s="6" t="s">
        <v>50</v>
      </c>
      <c r="Z829" s="6" t="s">
        <v>48</v>
      </c>
      <c r="AA829" s="6" t="s">
        <v>37</v>
      </c>
      <c r="AB829" s="6" t="s">
        <v>37</v>
      </c>
      <c r="AC829" s="6" t="s">
        <v>43</v>
      </c>
      <c r="AD829" s="26" t="s">
        <v>57</v>
      </c>
      <c r="AE829" s="7">
        <v>105</v>
      </c>
      <c r="AF829" s="6">
        <v>230</v>
      </c>
      <c r="AG829" s="10">
        <v>17</v>
      </c>
      <c r="AH829" s="31" t="s">
        <v>41</v>
      </c>
    </row>
    <row r="830" ht="13.9" spans="1:34">
      <c r="A830" s="6">
        <v>7075</v>
      </c>
      <c r="B830" s="7">
        <v>0</v>
      </c>
      <c r="C830" s="6">
        <v>0</v>
      </c>
      <c r="D830" s="6">
        <v>1.6</v>
      </c>
      <c r="E830" s="6">
        <v>0</v>
      </c>
      <c r="F830" s="6">
        <v>2.5</v>
      </c>
      <c r="G830" s="6">
        <v>0.25</v>
      </c>
      <c r="H830" s="6">
        <v>5.6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8">
        <v>90.05</v>
      </c>
      <c r="U830" s="7">
        <v>25</v>
      </c>
      <c r="V830" s="6">
        <v>25</v>
      </c>
      <c r="W830" s="6">
        <v>0</v>
      </c>
      <c r="X830" s="6" t="s">
        <v>96</v>
      </c>
      <c r="Y830" s="6" t="s">
        <v>50</v>
      </c>
      <c r="Z830" s="6" t="s">
        <v>48</v>
      </c>
      <c r="AA830" s="6" t="s">
        <v>37</v>
      </c>
      <c r="AB830" s="6" t="s">
        <v>37</v>
      </c>
      <c r="AC830" s="6" t="s">
        <v>43</v>
      </c>
      <c r="AD830" s="26" t="s">
        <v>49</v>
      </c>
      <c r="AE830" s="7">
        <v>105</v>
      </c>
      <c r="AF830" s="6">
        <v>230</v>
      </c>
      <c r="AG830" s="10">
        <v>17</v>
      </c>
      <c r="AH830" s="31" t="s">
        <v>41</v>
      </c>
    </row>
    <row r="831" ht="13.9" spans="1:34">
      <c r="A831" s="6">
        <v>7075</v>
      </c>
      <c r="B831" s="7">
        <v>0.1</v>
      </c>
      <c r="C831" s="6">
        <v>0.33</v>
      </c>
      <c r="D831" s="6">
        <v>1.51</v>
      </c>
      <c r="E831" s="6">
        <v>0</v>
      </c>
      <c r="F831" s="6">
        <v>2.34</v>
      </c>
      <c r="G831" s="6">
        <v>0.22</v>
      </c>
      <c r="H831" s="6">
        <v>5.3</v>
      </c>
      <c r="I831" s="6">
        <v>0</v>
      </c>
      <c r="J831" s="6">
        <v>0.07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8">
        <f t="shared" ref="T831:T849" si="29">100-SUM(B831:S831)</f>
        <v>90.13</v>
      </c>
      <c r="U831" s="7">
        <v>465</v>
      </c>
      <c r="V831" s="6">
        <v>125</v>
      </c>
      <c r="W831" s="6">
        <v>24</v>
      </c>
      <c r="X831" s="6" t="s">
        <v>44</v>
      </c>
      <c r="Y831" s="6" t="s">
        <v>73</v>
      </c>
      <c r="Z831" s="6" t="s">
        <v>37</v>
      </c>
      <c r="AA831" s="6" t="s">
        <v>74</v>
      </c>
      <c r="AB831" s="6" t="s">
        <v>37</v>
      </c>
      <c r="AC831" s="6" t="s">
        <v>51</v>
      </c>
      <c r="AD831" s="26" t="s">
        <v>77</v>
      </c>
      <c r="AE831" s="7">
        <v>467</v>
      </c>
      <c r="AF831" s="6" t="s">
        <v>40</v>
      </c>
      <c r="AG831" s="34">
        <v>11</v>
      </c>
      <c r="AH831" s="48" t="s">
        <v>186</v>
      </c>
    </row>
    <row r="832" ht="13.9" spans="1:34">
      <c r="A832" s="6">
        <v>7075</v>
      </c>
      <c r="B832" s="7">
        <v>0.1</v>
      </c>
      <c r="C832" s="6">
        <v>0.33</v>
      </c>
      <c r="D832" s="6">
        <v>1.51</v>
      </c>
      <c r="E832" s="6">
        <v>0</v>
      </c>
      <c r="F832" s="6">
        <v>2.34</v>
      </c>
      <c r="G832" s="6">
        <v>0.22</v>
      </c>
      <c r="H832" s="6">
        <v>5.3</v>
      </c>
      <c r="I832" s="6">
        <v>0</v>
      </c>
      <c r="J832" s="6">
        <v>0.07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8">
        <f t="shared" si="29"/>
        <v>90.13</v>
      </c>
      <c r="U832" s="7">
        <v>465</v>
      </c>
      <c r="V832" s="6">
        <v>125</v>
      </c>
      <c r="W832" s="6">
        <v>24</v>
      </c>
      <c r="X832" s="6" t="s">
        <v>99</v>
      </c>
      <c r="Y832" s="6" t="s">
        <v>73</v>
      </c>
      <c r="Z832" s="6" t="s">
        <v>37</v>
      </c>
      <c r="AA832" s="6" t="s">
        <v>74</v>
      </c>
      <c r="AB832" s="6" t="s">
        <v>37</v>
      </c>
      <c r="AC832" s="6" t="s">
        <v>69</v>
      </c>
      <c r="AD832" s="26" t="s">
        <v>77</v>
      </c>
      <c r="AE832" s="7">
        <v>465</v>
      </c>
      <c r="AF832" s="6" t="s">
        <v>40</v>
      </c>
      <c r="AG832" s="34">
        <v>2.9</v>
      </c>
      <c r="AH832" s="48" t="s">
        <v>186</v>
      </c>
    </row>
    <row r="833" ht="13.9" spans="1:34">
      <c r="A833" s="6">
        <v>7075</v>
      </c>
      <c r="B833" s="7">
        <v>0.1</v>
      </c>
      <c r="C833" s="6">
        <v>0.33</v>
      </c>
      <c r="D833" s="6">
        <v>1.51</v>
      </c>
      <c r="E833" s="6">
        <v>0</v>
      </c>
      <c r="F833" s="6">
        <v>2.34</v>
      </c>
      <c r="G833" s="6">
        <v>0.22</v>
      </c>
      <c r="H833" s="6">
        <v>5.3</v>
      </c>
      <c r="I833" s="6">
        <v>0</v>
      </c>
      <c r="J833" s="6">
        <v>0.07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8">
        <f t="shared" si="29"/>
        <v>90.13</v>
      </c>
      <c r="U833" s="7">
        <v>25</v>
      </c>
      <c r="V833" s="6">
        <v>25</v>
      </c>
      <c r="W833" s="6">
        <v>0</v>
      </c>
      <c r="X833" s="6" t="s">
        <v>99</v>
      </c>
      <c r="Y833" s="6" t="s">
        <v>35</v>
      </c>
      <c r="Z833" s="6" t="s">
        <v>37</v>
      </c>
      <c r="AA833" s="6" t="s">
        <v>37</v>
      </c>
      <c r="AB833" s="6" t="s">
        <v>37</v>
      </c>
      <c r="AC833" s="6" t="s">
        <v>69</v>
      </c>
      <c r="AD833" s="26" t="s">
        <v>52</v>
      </c>
      <c r="AE833" s="7">
        <v>230</v>
      </c>
      <c r="AF833" s="6" t="s">
        <v>40</v>
      </c>
      <c r="AG833" s="34">
        <v>2.4</v>
      </c>
      <c r="AH833" s="48" t="s">
        <v>186</v>
      </c>
    </row>
    <row r="834" ht="13.9" spans="1:34">
      <c r="A834" s="6">
        <v>7075</v>
      </c>
      <c r="B834" s="7">
        <v>0.2</v>
      </c>
      <c r="C834" s="6">
        <v>0.57</v>
      </c>
      <c r="D834" s="6">
        <v>1.76</v>
      </c>
      <c r="E834" s="6">
        <v>0.15</v>
      </c>
      <c r="F834" s="6">
        <v>3.64</v>
      </c>
      <c r="G834" s="6">
        <v>0.5</v>
      </c>
      <c r="H834" s="6">
        <v>6.04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8">
        <f t="shared" si="29"/>
        <v>87.14</v>
      </c>
      <c r="U834" s="7">
        <v>490</v>
      </c>
      <c r="V834" s="6">
        <v>25</v>
      </c>
      <c r="W834" s="6">
        <v>0</v>
      </c>
      <c r="X834" s="6" t="s">
        <v>44</v>
      </c>
      <c r="Y834" s="6" t="s">
        <v>73</v>
      </c>
      <c r="Z834" s="6" t="s">
        <v>37</v>
      </c>
      <c r="AA834" s="6" t="s">
        <v>80</v>
      </c>
      <c r="AB834" s="6" t="s">
        <v>37</v>
      </c>
      <c r="AC834" s="6" t="s">
        <v>69</v>
      </c>
      <c r="AD834" s="26" t="s">
        <v>86</v>
      </c>
      <c r="AE834" s="7">
        <v>260</v>
      </c>
      <c r="AF834" s="6">
        <v>500</v>
      </c>
      <c r="AG834" s="6">
        <v>15</v>
      </c>
      <c r="AH834" s="48" t="s">
        <v>187</v>
      </c>
    </row>
    <row r="835" ht="13.9" spans="1:34">
      <c r="A835" s="6">
        <v>7075</v>
      </c>
      <c r="B835" s="7">
        <v>0.4</v>
      </c>
      <c r="C835" s="6">
        <v>0.5</v>
      </c>
      <c r="D835" s="6">
        <v>1.6</v>
      </c>
      <c r="E835" s="6">
        <v>0.3</v>
      </c>
      <c r="F835" s="6">
        <v>2.5</v>
      </c>
      <c r="G835" s="6">
        <v>0.23</v>
      </c>
      <c r="H835" s="6">
        <v>5.6</v>
      </c>
      <c r="I835" s="6">
        <v>0</v>
      </c>
      <c r="J835" s="6">
        <v>0.2</v>
      </c>
      <c r="K835" s="6">
        <v>0.05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8">
        <f t="shared" si="29"/>
        <v>88.62</v>
      </c>
      <c r="U835" s="7">
        <v>490</v>
      </c>
      <c r="V835" s="6">
        <v>120</v>
      </c>
      <c r="W835" s="6">
        <v>24</v>
      </c>
      <c r="X835" s="6" t="s">
        <v>42</v>
      </c>
      <c r="Y835" s="6" t="s">
        <v>73</v>
      </c>
      <c r="Z835" s="6" t="s">
        <v>84</v>
      </c>
      <c r="AA835" s="6" t="s">
        <v>74</v>
      </c>
      <c r="AB835" s="6" t="s">
        <v>37</v>
      </c>
      <c r="AC835" s="6" t="s">
        <v>69</v>
      </c>
      <c r="AD835" s="26" t="s">
        <v>90</v>
      </c>
      <c r="AE835" s="7">
        <v>503</v>
      </c>
      <c r="AF835" s="6">
        <v>572</v>
      </c>
      <c r="AG835" s="6">
        <v>11</v>
      </c>
      <c r="AH835" s="31" t="s">
        <v>54</v>
      </c>
    </row>
    <row r="836" ht="13.9" spans="1:34">
      <c r="A836" s="6">
        <v>7075</v>
      </c>
      <c r="B836" s="7">
        <v>0.4</v>
      </c>
      <c r="C836" s="6">
        <v>0.5</v>
      </c>
      <c r="D836" s="6">
        <v>1.6</v>
      </c>
      <c r="E836" s="6">
        <v>0.3</v>
      </c>
      <c r="F836" s="6">
        <v>2.5</v>
      </c>
      <c r="G836" s="6">
        <v>0.23</v>
      </c>
      <c r="H836" s="6">
        <v>5.6</v>
      </c>
      <c r="I836" s="6">
        <v>0</v>
      </c>
      <c r="J836" s="6">
        <v>0.2</v>
      </c>
      <c r="K836" s="6">
        <v>0.05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8">
        <f t="shared" si="29"/>
        <v>88.62</v>
      </c>
      <c r="U836" s="7">
        <v>490</v>
      </c>
      <c r="V836" s="6">
        <v>120</v>
      </c>
      <c r="W836" s="6">
        <v>24</v>
      </c>
      <c r="X836" s="6" t="s">
        <v>42</v>
      </c>
      <c r="Y836" s="6" t="s">
        <v>73</v>
      </c>
      <c r="Z836" s="6" t="s">
        <v>37</v>
      </c>
      <c r="AA836" s="6" t="s">
        <v>74</v>
      </c>
      <c r="AB836" s="6" t="s">
        <v>37</v>
      </c>
      <c r="AC836" s="6" t="s">
        <v>69</v>
      </c>
      <c r="AD836" s="26" t="s">
        <v>77</v>
      </c>
      <c r="AE836" s="7">
        <v>503</v>
      </c>
      <c r="AF836" s="6">
        <v>572</v>
      </c>
      <c r="AG836" s="6">
        <v>11</v>
      </c>
      <c r="AH836" s="31" t="s">
        <v>54</v>
      </c>
    </row>
    <row r="837" ht="13.9" spans="1:34">
      <c r="A837" s="6">
        <v>7075</v>
      </c>
      <c r="B837" s="7">
        <v>0.4</v>
      </c>
      <c r="C837" s="6">
        <v>0.5</v>
      </c>
      <c r="D837" s="6">
        <v>1.6</v>
      </c>
      <c r="E837" s="6">
        <v>0.3</v>
      </c>
      <c r="F837" s="6">
        <v>2.5</v>
      </c>
      <c r="G837" s="6">
        <v>0.23</v>
      </c>
      <c r="H837" s="6">
        <v>5.6</v>
      </c>
      <c r="I837" s="6">
        <v>0</v>
      </c>
      <c r="J837" s="6">
        <v>0.2</v>
      </c>
      <c r="K837" s="6">
        <v>0.05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8">
        <f t="shared" si="29"/>
        <v>88.62</v>
      </c>
      <c r="U837" s="7">
        <v>490</v>
      </c>
      <c r="V837" s="6">
        <v>177</v>
      </c>
      <c r="W837" s="36" t="s">
        <v>188</v>
      </c>
      <c r="X837" s="6" t="s">
        <v>42</v>
      </c>
      <c r="Y837" s="6" t="s">
        <v>73</v>
      </c>
      <c r="Z837" s="6" t="s">
        <v>37</v>
      </c>
      <c r="AA837" s="6" t="s">
        <v>118</v>
      </c>
      <c r="AB837" s="6" t="s">
        <v>37</v>
      </c>
      <c r="AC837" s="6" t="s">
        <v>69</v>
      </c>
      <c r="AD837" s="26" t="s">
        <v>119</v>
      </c>
      <c r="AE837" s="7">
        <v>434</v>
      </c>
      <c r="AF837" s="6">
        <v>503</v>
      </c>
      <c r="AG837" s="6" t="s">
        <v>40</v>
      </c>
      <c r="AH837" s="31" t="s">
        <v>54</v>
      </c>
    </row>
    <row r="838" ht="13.9" spans="1:34">
      <c r="A838" s="6">
        <v>7075</v>
      </c>
      <c r="B838" s="7">
        <v>0.2</v>
      </c>
      <c r="C838" s="6">
        <v>0.35</v>
      </c>
      <c r="D838" s="6">
        <v>1.67</v>
      </c>
      <c r="E838" s="6">
        <v>0.3</v>
      </c>
      <c r="F838" s="6">
        <v>2.22</v>
      </c>
      <c r="G838" s="6">
        <v>0</v>
      </c>
      <c r="H838" s="6">
        <v>5.95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8">
        <f t="shared" si="29"/>
        <v>89.31</v>
      </c>
      <c r="U838" s="7">
        <v>500</v>
      </c>
      <c r="V838" s="6">
        <v>120</v>
      </c>
      <c r="W838" s="6">
        <v>12</v>
      </c>
      <c r="X838" s="6" t="s">
        <v>99</v>
      </c>
      <c r="Y838" s="6" t="s">
        <v>73</v>
      </c>
      <c r="Z838" s="6" t="s">
        <v>37</v>
      </c>
      <c r="AA838" s="6" t="s">
        <v>74</v>
      </c>
      <c r="AB838" s="6" t="s">
        <v>37</v>
      </c>
      <c r="AC838" s="6" t="s">
        <v>100</v>
      </c>
      <c r="AD838" s="26" t="s">
        <v>77</v>
      </c>
      <c r="AE838" s="7">
        <v>400</v>
      </c>
      <c r="AF838" s="6">
        <v>468</v>
      </c>
      <c r="AG838" s="10">
        <v>17</v>
      </c>
      <c r="AH838" s="48" t="s">
        <v>189</v>
      </c>
    </row>
    <row r="839" ht="13.9" spans="1:34">
      <c r="A839" s="6">
        <v>7075</v>
      </c>
      <c r="B839" s="7">
        <v>0.2</v>
      </c>
      <c r="C839" s="6">
        <v>0.35</v>
      </c>
      <c r="D839" s="6">
        <v>1.67</v>
      </c>
      <c r="E839" s="6">
        <v>0.3</v>
      </c>
      <c r="F839" s="6">
        <v>2.22</v>
      </c>
      <c r="G839" s="6">
        <v>0</v>
      </c>
      <c r="H839" s="6">
        <v>5.95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8">
        <f t="shared" si="29"/>
        <v>89.31</v>
      </c>
      <c r="U839" s="7">
        <v>25</v>
      </c>
      <c r="V839" s="6">
        <v>25</v>
      </c>
      <c r="W839" s="6">
        <v>0</v>
      </c>
      <c r="X839" s="6" t="s">
        <v>99</v>
      </c>
      <c r="Y839" s="6" t="s">
        <v>35</v>
      </c>
      <c r="Z839" s="6" t="s">
        <v>37</v>
      </c>
      <c r="AA839" s="6" t="s">
        <v>37</v>
      </c>
      <c r="AB839" s="6" t="s">
        <v>37</v>
      </c>
      <c r="AC839" s="6" t="s">
        <v>100</v>
      </c>
      <c r="AD839" s="26" t="s">
        <v>52</v>
      </c>
      <c r="AE839" s="7">
        <v>206</v>
      </c>
      <c r="AF839" s="6">
        <v>358</v>
      </c>
      <c r="AG839" s="10">
        <v>9.3</v>
      </c>
      <c r="AH839" s="48" t="s">
        <v>189</v>
      </c>
    </row>
    <row r="840" ht="13.9" spans="1:34">
      <c r="A840" s="6">
        <v>7075</v>
      </c>
      <c r="B840" s="7">
        <v>0.4</v>
      </c>
      <c r="C840" s="6">
        <v>0.5</v>
      </c>
      <c r="D840" s="6">
        <v>1.6</v>
      </c>
      <c r="E840" s="6">
        <v>0.3</v>
      </c>
      <c r="F840" s="6">
        <v>2.5</v>
      </c>
      <c r="G840" s="6">
        <v>0.23</v>
      </c>
      <c r="H840" s="6">
        <v>5.6</v>
      </c>
      <c r="I840" s="6">
        <v>0</v>
      </c>
      <c r="J840" s="6">
        <v>0.2</v>
      </c>
      <c r="K840" s="6">
        <v>0.05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8">
        <f t="shared" si="29"/>
        <v>88.62</v>
      </c>
      <c r="U840" s="7">
        <v>413</v>
      </c>
      <c r="V840" s="6">
        <v>25</v>
      </c>
      <c r="W840" s="6">
        <v>0</v>
      </c>
      <c r="X840" s="6" t="s">
        <v>42</v>
      </c>
      <c r="Y840" s="6" t="s">
        <v>50</v>
      </c>
      <c r="Z840" s="6" t="s">
        <v>37</v>
      </c>
      <c r="AA840" s="6" t="s">
        <v>37</v>
      </c>
      <c r="AB840" s="6" t="s">
        <v>37</v>
      </c>
      <c r="AC840" s="6" t="s">
        <v>69</v>
      </c>
      <c r="AD840" s="26" t="s">
        <v>57</v>
      </c>
      <c r="AE840" s="7">
        <v>200</v>
      </c>
      <c r="AF840" s="6" t="s">
        <v>40</v>
      </c>
      <c r="AG840" s="6">
        <v>21</v>
      </c>
      <c r="AH840" s="48" t="s">
        <v>170</v>
      </c>
    </row>
    <row r="841" ht="13.9" spans="1:34">
      <c r="A841" s="6">
        <v>7075</v>
      </c>
      <c r="B841" s="7">
        <v>0</v>
      </c>
      <c r="C841" s="6">
        <v>0.25</v>
      </c>
      <c r="D841" s="6">
        <v>1.55</v>
      </c>
      <c r="E841" s="6">
        <v>0</v>
      </c>
      <c r="F841" s="6">
        <v>2.2</v>
      </c>
      <c r="G841" s="6">
        <v>0.206</v>
      </c>
      <c r="H841" s="6">
        <v>6.5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8">
        <f t="shared" si="29"/>
        <v>89.294</v>
      </c>
      <c r="U841" s="7">
        <v>413</v>
      </c>
      <c r="V841" s="6">
        <v>25</v>
      </c>
      <c r="W841" s="6">
        <v>0</v>
      </c>
      <c r="X841" s="6" t="s">
        <v>42</v>
      </c>
      <c r="Y841" s="6" t="s">
        <v>50</v>
      </c>
      <c r="Z841" s="6" t="s">
        <v>37</v>
      </c>
      <c r="AA841" s="6" t="s">
        <v>37</v>
      </c>
      <c r="AB841" s="6" t="s">
        <v>37</v>
      </c>
      <c r="AC841" s="6" t="s">
        <v>69</v>
      </c>
      <c r="AD841" s="26" t="s">
        <v>57</v>
      </c>
      <c r="AE841" s="7">
        <v>147</v>
      </c>
      <c r="AF841" s="6">
        <v>245</v>
      </c>
      <c r="AG841" s="6">
        <v>15.33</v>
      </c>
      <c r="AH841" s="48" t="s">
        <v>190</v>
      </c>
    </row>
    <row r="842" ht="13.9" spans="1:34">
      <c r="A842" s="6">
        <v>7075</v>
      </c>
      <c r="B842" s="7">
        <v>0.3</v>
      </c>
      <c r="C842" s="6">
        <v>0.4</v>
      </c>
      <c r="D842" s="6">
        <v>1.1</v>
      </c>
      <c r="E842" s="6">
        <v>0.1</v>
      </c>
      <c r="F842" s="6">
        <v>2.5</v>
      </c>
      <c r="G842" s="6">
        <v>0.22</v>
      </c>
      <c r="H842" s="6">
        <v>5.4</v>
      </c>
      <c r="I842" s="6">
        <v>0</v>
      </c>
      <c r="J842" s="6">
        <v>0.01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8">
        <f t="shared" si="29"/>
        <v>89.97</v>
      </c>
      <c r="U842" s="7">
        <v>413</v>
      </c>
      <c r="V842" s="6">
        <v>25</v>
      </c>
      <c r="W842" s="36" t="s">
        <v>191</v>
      </c>
      <c r="X842" s="6" t="s">
        <v>42</v>
      </c>
      <c r="Y842" s="6" t="s">
        <v>50</v>
      </c>
      <c r="Z842" s="6" t="s">
        <v>192</v>
      </c>
      <c r="AA842" s="6" t="s">
        <v>37</v>
      </c>
      <c r="AB842" s="6" t="s">
        <v>37</v>
      </c>
      <c r="AC842" s="6" t="s">
        <v>45</v>
      </c>
      <c r="AD842" s="26" t="s">
        <v>193</v>
      </c>
      <c r="AE842" s="7">
        <v>204</v>
      </c>
      <c r="AF842" s="6">
        <v>285</v>
      </c>
      <c r="AG842" s="5">
        <v>10</v>
      </c>
      <c r="AH842" s="48" t="s">
        <v>194</v>
      </c>
    </row>
    <row r="843" ht="13.9" spans="1:34">
      <c r="A843" s="6">
        <v>7075</v>
      </c>
      <c r="B843" s="7">
        <v>0.3</v>
      </c>
      <c r="C843" s="6">
        <v>0.4</v>
      </c>
      <c r="D843" s="6">
        <v>1.1</v>
      </c>
      <c r="E843" s="6">
        <v>0.1</v>
      </c>
      <c r="F843" s="6">
        <v>2.5</v>
      </c>
      <c r="G843" s="6">
        <v>0.22</v>
      </c>
      <c r="H843" s="6">
        <v>5.4</v>
      </c>
      <c r="I843" s="6">
        <v>0</v>
      </c>
      <c r="J843" s="6">
        <v>0.01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8">
        <f t="shared" si="29"/>
        <v>89.97</v>
      </c>
      <c r="U843" s="7">
        <v>413</v>
      </c>
      <c r="V843" s="6">
        <v>25</v>
      </c>
      <c r="W843" s="6">
        <v>0</v>
      </c>
      <c r="X843" s="6" t="s">
        <v>42</v>
      </c>
      <c r="Y843" s="6" t="s">
        <v>50</v>
      </c>
      <c r="Z843" s="6" t="s">
        <v>37</v>
      </c>
      <c r="AA843" s="6" t="s">
        <v>80</v>
      </c>
      <c r="AB843" s="6" t="s">
        <v>37</v>
      </c>
      <c r="AC843" s="6" t="s">
        <v>45</v>
      </c>
      <c r="AD843" s="26" t="s">
        <v>86</v>
      </c>
      <c r="AE843" s="7">
        <v>148</v>
      </c>
      <c r="AF843" s="6">
        <v>260</v>
      </c>
      <c r="AG843" s="10">
        <v>27</v>
      </c>
      <c r="AH843" s="48" t="s">
        <v>194</v>
      </c>
    </row>
    <row r="844" ht="13.9" spans="1:34">
      <c r="A844" s="6">
        <v>7075</v>
      </c>
      <c r="B844" s="7">
        <v>0.2</v>
      </c>
      <c r="C844" s="6">
        <v>0.3</v>
      </c>
      <c r="D844" s="6">
        <v>1.55</v>
      </c>
      <c r="E844" s="6">
        <v>0.15</v>
      </c>
      <c r="F844" s="6">
        <v>2.6</v>
      </c>
      <c r="G844" s="6">
        <v>0.2</v>
      </c>
      <c r="H844" s="6">
        <v>5.5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8">
        <f t="shared" si="29"/>
        <v>89.5</v>
      </c>
      <c r="U844" s="7">
        <v>490</v>
      </c>
      <c r="V844" s="6">
        <v>25</v>
      </c>
      <c r="W844" s="6">
        <v>0</v>
      </c>
      <c r="X844" s="6" t="s">
        <v>44</v>
      </c>
      <c r="Y844" s="6" t="s">
        <v>73</v>
      </c>
      <c r="Z844" s="6" t="s">
        <v>108</v>
      </c>
      <c r="AA844" s="6" t="s">
        <v>80</v>
      </c>
      <c r="AB844" s="6" t="s">
        <v>37</v>
      </c>
      <c r="AC844" s="6" t="s">
        <v>69</v>
      </c>
      <c r="AD844" s="26" t="s">
        <v>81</v>
      </c>
      <c r="AE844" s="7">
        <v>541</v>
      </c>
      <c r="AF844" s="6">
        <v>590</v>
      </c>
      <c r="AG844" s="5">
        <v>5.7</v>
      </c>
      <c r="AH844" s="48" t="s">
        <v>195</v>
      </c>
    </row>
    <row r="845" ht="13.9" spans="1:34">
      <c r="A845" s="6">
        <v>7075</v>
      </c>
      <c r="B845" s="7">
        <v>0.2</v>
      </c>
      <c r="C845" s="6">
        <v>0.3</v>
      </c>
      <c r="D845" s="6">
        <v>1.55</v>
      </c>
      <c r="E845" s="6">
        <v>0.15</v>
      </c>
      <c r="F845" s="6">
        <v>2.6</v>
      </c>
      <c r="G845" s="6">
        <v>0.2</v>
      </c>
      <c r="H845" s="6">
        <v>5.5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8">
        <f t="shared" si="29"/>
        <v>89.5</v>
      </c>
      <c r="U845" s="7">
        <v>490</v>
      </c>
      <c r="V845" s="6">
        <v>100</v>
      </c>
      <c r="W845" s="6">
        <v>45</v>
      </c>
      <c r="X845" s="6" t="s">
        <v>44</v>
      </c>
      <c r="Y845" s="6" t="s">
        <v>73</v>
      </c>
      <c r="Z845" s="6" t="s">
        <v>108</v>
      </c>
      <c r="AA845" s="6" t="s">
        <v>74</v>
      </c>
      <c r="AB845" s="6" t="s">
        <v>37</v>
      </c>
      <c r="AC845" s="6" t="s">
        <v>100</v>
      </c>
      <c r="AD845" s="26" t="s">
        <v>83</v>
      </c>
      <c r="AE845" s="7">
        <v>607</v>
      </c>
      <c r="AF845" s="6">
        <v>642</v>
      </c>
      <c r="AG845" s="6">
        <v>8.2</v>
      </c>
      <c r="AH845" s="48" t="s">
        <v>196</v>
      </c>
    </row>
    <row r="846" ht="13.9" spans="1:34">
      <c r="A846" s="6">
        <v>7075</v>
      </c>
      <c r="B846" s="7">
        <v>0.2</v>
      </c>
      <c r="C846" s="6">
        <v>0.3</v>
      </c>
      <c r="D846" s="6">
        <v>1.55</v>
      </c>
      <c r="E846" s="6">
        <v>0.15</v>
      </c>
      <c r="F846" s="6">
        <v>2.6</v>
      </c>
      <c r="G846" s="6">
        <v>0.2</v>
      </c>
      <c r="H846" s="6">
        <v>5.5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8">
        <f t="shared" si="29"/>
        <v>89.5</v>
      </c>
      <c r="U846" s="7">
        <v>490</v>
      </c>
      <c r="V846" s="6">
        <v>100</v>
      </c>
      <c r="W846" s="6">
        <v>35</v>
      </c>
      <c r="X846" s="6" t="s">
        <v>44</v>
      </c>
      <c r="Y846" s="6" t="s">
        <v>73</v>
      </c>
      <c r="Z846" s="6" t="s">
        <v>192</v>
      </c>
      <c r="AA846" s="6" t="s">
        <v>74</v>
      </c>
      <c r="AB846" s="6" t="s">
        <v>37</v>
      </c>
      <c r="AC846" s="6" t="s">
        <v>100</v>
      </c>
      <c r="AD846" s="26" t="s">
        <v>83</v>
      </c>
      <c r="AE846" s="7">
        <v>577</v>
      </c>
      <c r="AF846" s="6">
        <v>618</v>
      </c>
      <c r="AG846" s="6">
        <v>6</v>
      </c>
      <c r="AH846" s="48" t="s">
        <v>196</v>
      </c>
    </row>
    <row r="847" ht="13.9" spans="1:34">
      <c r="A847" s="6">
        <v>7075</v>
      </c>
      <c r="B847" s="7">
        <v>0.2</v>
      </c>
      <c r="C847" s="6">
        <v>0.3</v>
      </c>
      <c r="D847" s="6">
        <v>1.55</v>
      </c>
      <c r="E847" s="6">
        <v>0.15</v>
      </c>
      <c r="F847" s="6">
        <v>2.6</v>
      </c>
      <c r="G847" s="6">
        <v>0.2</v>
      </c>
      <c r="H847" s="6">
        <v>5.5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8">
        <f t="shared" si="29"/>
        <v>89.5</v>
      </c>
      <c r="U847" s="7">
        <v>490</v>
      </c>
      <c r="V847" s="6">
        <v>25</v>
      </c>
      <c r="W847" s="6">
        <v>0</v>
      </c>
      <c r="X847" s="6" t="s">
        <v>44</v>
      </c>
      <c r="Y847" s="6" t="s">
        <v>73</v>
      </c>
      <c r="Z847" s="6" t="s">
        <v>108</v>
      </c>
      <c r="AA847" s="6" t="s">
        <v>80</v>
      </c>
      <c r="AB847" s="6" t="s">
        <v>37</v>
      </c>
      <c r="AC847" s="6" t="s">
        <v>100</v>
      </c>
      <c r="AD847" s="26" t="s">
        <v>81</v>
      </c>
      <c r="AE847" s="7">
        <v>545</v>
      </c>
      <c r="AF847" s="6">
        <v>591</v>
      </c>
      <c r="AG847" s="6">
        <v>5</v>
      </c>
      <c r="AH847" s="48" t="s">
        <v>196</v>
      </c>
    </row>
    <row r="848" ht="13.9" spans="1:34">
      <c r="A848" s="6">
        <v>7075</v>
      </c>
      <c r="B848" s="7">
        <v>0.2</v>
      </c>
      <c r="C848" s="6">
        <v>0.3</v>
      </c>
      <c r="D848" s="6">
        <v>1.55</v>
      </c>
      <c r="E848" s="6">
        <v>0.15</v>
      </c>
      <c r="F848" s="6">
        <v>2.6</v>
      </c>
      <c r="G848" s="6">
        <v>0.2</v>
      </c>
      <c r="H848" s="6">
        <v>5.5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8">
        <f t="shared" si="29"/>
        <v>89.5</v>
      </c>
      <c r="U848" s="7">
        <v>490</v>
      </c>
      <c r="V848" s="6">
        <v>25</v>
      </c>
      <c r="W848" s="6">
        <v>0</v>
      </c>
      <c r="X848" s="6" t="s">
        <v>44</v>
      </c>
      <c r="Y848" s="6" t="s">
        <v>73</v>
      </c>
      <c r="Z848" s="6" t="s">
        <v>192</v>
      </c>
      <c r="AA848" s="6" t="s">
        <v>80</v>
      </c>
      <c r="AB848" s="6" t="s">
        <v>37</v>
      </c>
      <c r="AC848" s="6" t="s">
        <v>100</v>
      </c>
      <c r="AD848" s="26" t="s">
        <v>81</v>
      </c>
      <c r="AE848" s="7">
        <v>529</v>
      </c>
      <c r="AF848" s="6">
        <v>578</v>
      </c>
      <c r="AG848" s="6">
        <v>4.2</v>
      </c>
      <c r="AH848" s="48" t="s">
        <v>196</v>
      </c>
    </row>
    <row r="849" ht="13.9" spans="1:34">
      <c r="A849" s="6">
        <v>7075</v>
      </c>
      <c r="B849" s="7">
        <v>0.2</v>
      </c>
      <c r="C849" s="6">
        <v>0.3</v>
      </c>
      <c r="D849" s="6">
        <v>1.55</v>
      </c>
      <c r="E849" s="6">
        <v>0.15</v>
      </c>
      <c r="F849" s="6">
        <v>2.6</v>
      </c>
      <c r="G849" s="6">
        <v>0.2</v>
      </c>
      <c r="H849" s="6">
        <v>5.5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8">
        <f t="shared" si="29"/>
        <v>89.5</v>
      </c>
      <c r="U849" s="7">
        <v>490</v>
      </c>
      <c r="V849" s="6">
        <v>120</v>
      </c>
      <c r="W849" s="6">
        <v>30</v>
      </c>
      <c r="X849" s="6" t="s">
        <v>44</v>
      </c>
      <c r="Y849" s="6" t="s">
        <v>73</v>
      </c>
      <c r="Z849" s="6" t="s">
        <v>37</v>
      </c>
      <c r="AA849" s="6" t="s">
        <v>74</v>
      </c>
      <c r="AB849" s="6" t="s">
        <v>37</v>
      </c>
      <c r="AC849" s="6" t="s">
        <v>100</v>
      </c>
      <c r="AD849" s="26" t="s">
        <v>77</v>
      </c>
      <c r="AE849" s="7">
        <v>502</v>
      </c>
      <c r="AF849" s="6">
        <v>572</v>
      </c>
      <c r="AG849" s="6">
        <v>9</v>
      </c>
      <c r="AH849" s="48" t="s">
        <v>196</v>
      </c>
    </row>
    <row r="850" ht="13.9" spans="1:34">
      <c r="A850" s="50">
        <v>7075</v>
      </c>
      <c r="B850" s="6">
        <v>0.2</v>
      </c>
      <c r="C850" s="6">
        <v>0.3</v>
      </c>
      <c r="D850" s="6">
        <v>1.55</v>
      </c>
      <c r="E850" s="6">
        <v>0.15</v>
      </c>
      <c r="F850" s="6">
        <v>2.6</v>
      </c>
      <c r="G850" s="6">
        <v>0.2</v>
      </c>
      <c r="H850" s="6">
        <v>5.5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26">
        <v>89.5</v>
      </c>
      <c r="U850" s="6">
        <v>490</v>
      </c>
      <c r="V850" s="6">
        <v>25</v>
      </c>
      <c r="W850" s="6">
        <v>0</v>
      </c>
      <c r="X850" s="6" t="s">
        <v>44</v>
      </c>
      <c r="Y850" s="6" t="s">
        <v>73</v>
      </c>
      <c r="Z850" s="6" t="s">
        <v>37</v>
      </c>
      <c r="AA850" s="6" t="s">
        <v>80</v>
      </c>
      <c r="AB850" s="6" t="s">
        <v>37</v>
      </c>
      <c r="AC850" s="6" t="s">
        <v>100</v>
      </c>
      <c r="AD850" s="26" t="s">
        <v>86</v>
      </c>
      <c r="AE850" s="6">
        <v>155</v>
      </c>
      <c r="AF850" s="6">
        <v>368</v>
      </c>
      <c r="AG850" s="50">
        <v>16.6</v>
      </c>
      <c r="AH850" s="51" t="s">
        <v>196</v>
      </c>
    </row>
    <row r="851" ht="13.9" spans="1:34">
      <c r="A851" s="6">
        <v>7075</v>
      </c>
      <c r="B851" s="7">
        <v>0.4</v>
      </c>
      <c r="C851" s="6">
        <v>0.42</v>
      </c>
      <c r="D851" s="6">
        <v>1.4</v>
      </c>
      <c r="E851" s="6">
        <v>0.13</v>
      </c>
      <c r="F851" s="6">
        <v>2.4</v>
      </c>
      <c r="G851" s="6">
        <v>0.26</v>
      </c>
      <c r="H851" s="6">
        <v>5.6</v>
      </c>
      <c r="I851" s="6">
        <v>0</v>
      </c>
      <c r="J851" s="6">
        <v>0.01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8">
        <f t="shared" ref="T851:T865" si="30">100-SUM(B851:S851)</f>
        <v>89.38</v>
      </c>
      <c r="U851" s="7">
        <v>465</v>
      </c>
      <c r="V851" s="6">
        <v>120</v>
      </c>
      <c r="W851" s="6">
        <v>24</v>
      </c>
      <c r="X851" s="6" t="s">
        <v>99</v>
      </c>
      <c r="Y851" s="6" t="s">
        <v>73</v>
      </c>
      <c r="Z851" s="6" t="s">
        <v>37</v>
      </c>
      <c r="AA851" s="6" t="s">
        <v>74</v>
      </c>
      <c r="AB851" s="6" t="s">
        <v>37</v>
      </c>
      <c r="AC851" s="6" t="s">
        <v>69</v>
      </c>
      <c r="AD851" s="26" t="s">
        <v>77</v>
      </c>
      <c r="AE851" s="7">
        <v>480</v>
      </c>
      <c r="AF851" s="6">
        <v>550</v>
      </c>
      <c r="AG851" s="10">
        <v>6</v>
      </c>
      <c r="AH851" s="48" t="s">
        <v>197</v>
      </c>
    </row>
    <row r="852" ht="13.9" spans="1:34">
      <c r="A852" s="6">
        <v>7075</v>
      </c>
      <c r="B852" s="7">
        <v>0.4</v>
      </c>
      <c r="C852" s="6">
        <v>0.42</v>
      </c>
      <c r="D852" s="6">
        <v>1.4</v>
      </c>
      <c r="E852" s="6">
        <v>0.13</v>
      </c>
      <c r="F852" s="6">
        <v>2.4</v>
      </c>
      <c r="G852" s="6">
        <v>0.26</v>
      </c>
      <c r="H852" s="6">
        <v>5.6</v>
      </c>
      <c r="I852" s="6">
        <v>0</v>
      </c>
      <c r="J852" s="6">
        <v>0.01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8">
        <f t="shared" si="30"/>
        <v>89.38</v>
      </c>
      <c r="U852" s="7">
        <v>465</v>
      </c>
      <c r="V852" s="6">
        <v>120</v>
      </c>
      <c r="W852" s="6">
        <v>24</v>
      </c>
      <c r="X852" s="6" t="s">
        <v>44</v>
      </c>
      <c r="Y852" s="6" t="s">
        <v>73</v>
      </c>
      <c r="Z852" s="6" t="s">
        <v>37</v>
      </c>
      <c r="AA852" s="6" t="s">
        <v>74</v>
      </c>
      <c r="AB852" s="6" t="s">
        <v>37</v>
      </c>
      <c r="AC852" s="6" t="s">
        <v>69</v>
      </c>
      <c r="AD852" s="26" t="s">
        <v>77</v>
      </c>
      <c r="AE852" s="7">
        <v>467</v>
      </c>
      <c r="AF852" s="6">
        <v>526</v>
      </c>
      <c r="AG852" s="6">
        <v>10</v>
      </c>
      <c r="AH852" s="48" t="s">
        <v>197</v>
      </c>
    </row>
    <row r="853" ht="13.9" spans="1:34">
      <c r="A853" s="6">
        <v>7075</v>
      </c>
      <c r="B853" s="7">
        <v>0</v>
      </c>
      <c r="C853" s="6">
        <v>0</v>
      </c>
      <c r="D853" s="6">
        <v>1.5</v>
      </c>
      <c r="E853" s="6">
        <v>0</v>
      </c>
      <c r="F853" s="6">
        <v>2.65</v>
      </c>
      <c r="G853" s="6">
        <v>0.21</v>
      </c>
      <c r="H853" s="6">
        <v>5.7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8">
        <f t="shared" si="30"/>
        <v>89.94</v>
      </c>
      <c r="U853" s="7">
        <v>470</v>
      </c>
      <c r="V853" s="6">
        <v>120</v>
      </c>
      <c r="W853" s="6">
        <v>24</v>
      </c>
      <c r="X853" s="6" t="s">
        <v>44</v>
      </c>
      <c r="Y853" s="6" t="s">
        <v>73</v>
      </c>
      <c r="Z853" s="6" t="s">
        <v>37</v>
      </c>
      <c r="AA853" s="6" t="s">
        <v>74</v>
      </c>
      <c r="AB853" s="6" t="s">
        <v>37</v>
      </c>
      <c r="AC853" s="6" t="s">
        <v>69</v>
      </c>
      <c r="AD853" s="26" t="s">
        <v>77</v>
      </c>
      <c r="AE853" s="7">
        <v>510</v>
      </c>
      <c r="AF853" s="6">
        <v>554</v>
      </c>
      <c r="AG853" s="6">
        <v>11.7</v>
      </c>
      <c r="AH853" s="48" t="s">
        <v>198</v>
      </c>
    </row>
    <row r="854" ht="13.9" spans="1:34">
      <c r="A854" s="6">
        <v>7075</v>
      </c>
      <c r="B854" s="7">
        <v>0.01</v>
      </c>
      <c r="C854" s="6">
        <v>0.02</v>
      </c>
      <c r="D854" s="6">
        <v>1.42</v>
      </c>
      <c r="E854" s="6">
        <v>0.01</v>
      </c>
      <c r="F854" s="6">
        <v>2.19</v>
      </c>
      <c r="G854" s="6">
        <v>0.19</v>
      </c>
      <c r="H854" s="6">
        <v>5.37</v>
      </c>
      <c r="I854" s="6">
        <v>0</v>
      </c>
      <c r="J854" s="6">
        <v>0.01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8">
        <f t="shared" si="30"/>
        <v>90.78</v>
      </c>
      <c r="U854" s="7">
        <v>470</v>
      </c>
      <c r="V854" s="6">
        <v>100</v>
      </c>
      <c r="W854" s="36" t="s">
        <v>199</v>
      </c>
      <c r="X854" s="6" t="s">
        <v>44</v>
      </c>
      <c r="Y854" s="6" t="s">
        <v>73</v>
      </c>
      <c r="Z854" s="6" t="s">
        <v>37</v>
      </c>
      <c r="AA854" s="6" t="s">
        <v>74</v>
      </c>
      <c r="AB854" s="6" t="s">
        <v>37</v>
      </c>
      <c r="AC854" s="6" t="s">
        <v>51</v>
      </c>
      <c r="AD854" s="26" t="s">
        <v>77</v>
      </c>
      <c r="AE854" s="7">
        <v>538</v>
      </c>
      <c r="AF854" s="6">
        <v>641</v>
      </c>
      <c r="AG854" s="6">
        <v>13</v>
      </c>
      <c r="AH854" s="48" t="s">
        <v>200</v>
      </c>
    </row>
    <row r="855" ht="13.9" spans="1:34">
      <c r="A855" s="6">
        <v>7075</v>
      </c>
      <c r="B855" s="7">
        <v>0.01</v>
      </c>
      <c r="C855" s="6">
        <v>0.02</v>
      </c>
      <c r="D855" s="6">
        <v>1.42</v>
      </c>
      <c r="E855" s="6">
        <v>0.01</v>
      </c>
      <c r="F855" s="6">
        <v>2.19</v>
      </c>
      <c r="G855" s="6">
        <v>0.19</v>
      </c>
      <c r="H855" s="6">
        <v>5.37</v>
      </c>
      <c r="I855" s="6">
        <v>0</v>
      </c>
      <c r="J855" s="6">
        <v>0.01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8">
        <f t="shared" si="30"/>
        <v>90.78</v>
      </c>
      <c r="U855" s="7">
        <v>470</v>
      </c>
      <c r="V855" s="6">
        <v>120</v>
      </c>
      <c r="W855" s="36" t="s">
        <v>199</v>
      </c>
      <c r="X855" s="6" t="s">
        <v>44</v>
      </c>
      <c r="Y855" s="6" t="s">
        <v>73</v>
      </c>
      <c r="Z855" s="6" t="s">
        <v>37</v>
      </c>
      <c r="AA855" s="6" t="s">
        <v>74</v>
      </c>
      <c r="AB855" s="6" t="s">
        <v>37</v>
      </c>
      <c r="AC855" s="6" t="s">
        <v>51</v>
      </c>
      <c r="AD855" s="26" t="s">
        <v>77</v>
      </c>
      <c r="AE855" s="7">
        <v>575</v>
      </c>
      <c r="AF855" s="6">
        <v>636</v>
      </c>
      <c r="AG855" s="6">
        <v>15</v>
      </c>
      <c r="AH855" s="48" t="s">
        <v>200</v>
      </c>
    </row>
    <row r="856" ht="13.9" spans="1:34">
      <c r="A856" s="6">
        <v>7075</v>
      </c>
      <c r="B856" s="7">
        <v>0.01</v>
      </c>
      <c r="C856" s="6">
        <v>0.02</v>
      </c>
      <c r="D856" s="6">
        <v>1.42</v>
      </c>
      <c r="E856" s="6">
        <v>0.01</v>
      </c>
      <c r="F856" s="6">
        <v>2.19</v>
      </c>
      <c r="G856" s="6">
        <v>0.19</v>
      </c>
      <c r="H856" s="6">
        <v>5.37</v>
      </c>
      <c r="I856" s="6">
        <v>0</v>
      </c>
      <c r="J856" s="6">
        <v>0.01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8">
        <f t="shared" si="30"/>
        <v>90.78</v>
      </c>
      <c r="U856" s="7">
        <v>470</v>
      </c>
      <c r="V856" s="6">
        <v>170</v>
      </c>
      <c r="W856" s="36" t="s">
        <v>199</v>
      </c>
      <c r="X856" s="6" t="s">
        <v>44</v>
      </c>
      <c r="Y856" s="6" t="s">
        <v>73</v>
      </c>
      <c r="Z856" s="6" t="s">
        <v>37</v>
      </c>
      <c r="AA856" s="6" t="s">
        <v>74</v>
      </c>
      <c r="AB856" s="6" t="s">
        <v>37</v>
      </c>
      <c r="AC856" s="6" t="s">
        <v>51</v>
      </c>
      <c r="AD856" s="26" t="s">
        <v>77</v>
      </c>
      <c r="AE856" s="7">
        <v>476</v>
      </c>
      <c r="AF856" s="6">
        <v>547</v>
      </c>
      <c r="AG856" s="6">
        <v>17</v>
      </c>
      <c r="AH856" s="48" t="s">
        <v>200</v>
      </c>
    </row>
    <row r="857" ht="13.9" spans="1:34">
      <c r="A857" s="6">
        <v>7075</v>
      </c>
      <c r="B857" s="7">
        <v>0.01</v>
      </c>
      <c r="C857" s="6">
        <v>0.02</v>
      </c>
      <c r="D857" s="6">
        <v>1.42</v>
      </c>
      <c r="E857" s="6">
        <v>0.01</v>
      </c>
      <c r="F857" s="6">
        <v>2.19</v>
      </c>
      <c r="G857" s="6">
        <v>0.19</v>
      </c>
      <c r="H857" s="6">
        <v>5.37</v>
      </c>
      <c r="I857" s="6">
        <v>0</v>
      </c>
      <c r="J857" s="6">
        <v>0.01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8">
        <f t="shared" si="30"/>
        <v>90.78</v>
      </c>
      <c r="U857" s="7">
        <v>470</v>
      </c>
      <c r="V857" s="6">
        <v>175</v>
      </c>
      <c r="W857" s="36" t="s">
        <v>199</v>
      </c>
      <c r="X857" s="6" t="s">
        <v>44</v>
      </c>
      <c r="Y857" s="6" t="s">
        <v>73</v>
      </c>
      <c r="Z857" s="6" t="s">
        <v>37</v>
      </c>
      <c r="AA857" s="6" t="s">
        <v>74</v>
      </c>
      <c r="AB857" s="6" t="s">
        <v>37</v>
      </c>
      <c r="AC857" s="6" t="s">
        <v>51</v>
      </c>
      <c r="AD857" s="26" t="s">
        <v>77</v>
      </c>
      <c r="AE857" s="7">
        <v>348</v>
      </c>
      <c r="AF857" s="6">
        <v>440</v>
      </c>
      <c r="AG857" s="6">
        <v>19</v>
      </c>
      <c r="AH857" s="48" t="s">
        <v>200</v>
      </c>
    </row>
    <row r="858" s="3" customFormat="1" ht="13.9" spans="1:34">
      <c r="A858" s="3">
        <v>7075</v>
      </c>
      <c r="B858" s="16">
        <v>0.3</v>
      </c>
      <c r="C858" s="3">
        <v>0.5</v>
      </c>
      <c r="D858" s="3">
        <v>1.6</v>
      </c>
      <c r="E858" s="3">
        <v>0.3</v>
      </c>
      <c r="F858" s="3">
        <v>2.5</v>
      </c>
      <c r="G858" s="3">
        <v>0.23</v>
      </c>
      <c r="H858" s="3">
        <v>5.6</v>
      </c>
      <c r="I858" s="3">
        <v>0</v>
      </c>
      <c r="J858" s="3">
        <v>0.2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22">
        <f t="shared" si="30"/>
        <v>88.77</v>
      </c>
      <c r="U858" s="16">
        <v>480</v>
      </c>
      <c r="V858" s="3">
        <v>25</v>
      </c>
      <c r="W858" s="3">
        <v>720</v>
      </c>
      <c r="X858" s="3" t="s">
        <v>42</v>
      </c>
      <c r="Y858" s="3" t="s">
        <v>73</v>
      </c>
      <c r="Z858" s="3" t="s">
        <v>37</v>
      </c>
      <c r="AA858" s="3" t="s">
        <v>80</v>
      </c>
      <c r="AB858" s="3" t="s">
        <v>37</v>
      </c>
      <c r="AC858" s="3" t="s">
        <v>69</v>
      </c>
      <c r="AD858" s="27" t="s">
        <v>86</v>
      </c>
      <c r="AE858" s="16">
        <v>320</v>
      </c>
      <c r="AF858" s="3">
        <v>530</v>
      </c>
      <c r="AG858" s="3">
        <v>20.5</v>
      </c>
      <c r="AH858" s="49" t="s">
        <v>201</v>
      </c>
    </row>
    <row r="859" s="4" customFormat="1" ht="13.9" spans="1:34">
      <c r="A859" s="4">
        <v>7076</v>
      </c>
      <c r="B859" s="35">
        <v>0.4</v>
      </c>
      <c r="C859" s="4">
        <v>0.6</v>
      </c>
      <c r="D859" s="4">
        <v>0.65</v>
      </c>
      <c r="E859" s="4">
        <v>0.55</v>
      </c>
      <c r="F859" s="4">
        <v>1.6</v>
      </c>
      <c r="G859" s="4">
        <v>0</v>
      </c>
      <c r="H859" s="4">
        <v>7.5</v>
      </c>
      <c r="I859" s="4">
        <v>0</v>
      </c>
      <c r="J859" s="4">
        <v>0.2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37">
        <f t="shared" si="30"/>
        <v>88.5</v>
      </c>
      <c r="U859" s="35">
        <v>493</v>
      </c>
      <c r="V859" s="4">
        <v>120</v>
      </c>
      <c r="W859" s="4">
        <v>24</v>
      </c>
      <c r="X859" s="4" t="s">
        <v>53</v>
      </c>
      <c r="Y859" s="4" t="s">
        <v>73</v>
      </c>
      <c r="Z859" s="4" t="s">
        <v>37</v>
      </c>
      <c r="AA859" s="4" t="s">
        <v>118</v>
      </c>
      <c r="AB859" s="4" t="s">
        <v>37</v>
      </c>
      <c r="AC859" s="4" t="s">
        <v>53</v>
      </c>
      <c r="AD859" s="45" t="s">
        <v>131</v>
      </c>
      <c r="AE859" s="35">
        <v>415</v>
      </c>
      <c r="AF859" s="4">
        <v>485</v>
      </c>
      <c r="AG859" s="39">
        <v>14</v>
      </c>
      <c r="AH859" s="40" t="s">
        <v>54</v>
      </c>
    </row>
    <row r="860" ht="13.9" spans="1:34">
      <c r="A860" s="6">
        <v>7175</v>
      </c>
      <c r="B860" s="7">
        <v>0.15</v>
      </c>
      <c r="C860" s="6">
        <v>0.2</v>
      </c>
      <c r="D860" s="6">
        <v>1.6</v>
      </c>
      <c r="E860" s="6">
        <v>0.1</v>
      </c>
      <c r="F860" s="6">
        <v>2.5</v>
      </c>
      <c r="G860" s="6">
        <v>0.23</v>
      </c>
      <c r="H860" s="6">
        <v>5.6</v>
      </c>
      <c r="I860" s="6">
        <v>0</v>
      </c>
      <c r="J860" s="6">
        <v>0.1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8">
        <f t="shared" si="30"/>
        <v>89.52</v>
      </c>
      <c r="U860" s="7">
        <v>515</v>
      </c>
      <c r="V860" s="6">
        <v>147.5</v>
      </c>
      <c r="W860" s="6">
        <v>24</v>
      </c>
      <c r="X860" s="6" t="s">
        <v>96</v>
      </c>
      <c r="Y860" s="6" t="s">
        <v>73</v>
      </c>
      <c r="Z860" s="6" t="s">
        <v>37</v>
      </c>
      <c r="AA860" s="6" t="s">
        <v>118</v>
      </c>
      <c r="AB860" s="6" t="s">
        <v>37</v>
      </c>
      <c r="AC860" s="6" t="s">
        <v>97</v>
      </c>
      <c r="AD860" s="26" t="s">
        <v>119</v>
      </c>
      <c r="AE860" s="7">
        <v>503</v>
      </c>
      <c r="AF860" s="6">
        <v>552</v>
      </c>
      <c r="AG860" s="10">
        <v>14</v>
      </c>
      <c r="AH860" s="31" t="s">
        <v>54</v>
      </c>
    </row>
    <row r="861" s="3" customFormat="1" ht="13.9" spans="1:34">
      <c r="A861" s="3">
        <v>7175</v>
      </c>
      <c r="B861" s="16">
        <v>0.15</v>
      </c>
      <c r="C861" s="3">
        <v>0.2</v>
      </c>
      <c r="D861" s="3">
        <v>1.6</v>
      </c>
      <c r="E861" s="3">
        <v>0.1</v>
      </c>
      <c r="F861" s="3">
        <v>2.5</v>
      </c>
      <c r="G861" s="3">
        <v>0.23</v>
      </c>
      <c r="H861" s="3">
        <v>5.6</v>
      </c>
      <c r="I861" s="3">
        <v>0</v>
      </c>
      <c r="J861" s="3">
        <v>0.1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22">
        <f t="shared" si="30"/>
        <v>89.52</v>
      </c>
      <c r="U861" s="16">
        <v>515</v>
      </c>
      <c r="V861" s="3">
        <v>147.5</v>
      </c>
      <c r="W861" s="3">
        <v>24</v>
      </c>
      <c r="X861" s="3" t="s">
        <v>53</v>
      </c>
      <c r="Y861" s="3" t="s">
        <v>73</v>
      </c>
      <c r="Z861" s="3" t="s">
        <v>37</v>
      </c>
      <c r="AA861" s="3" t="s">
        <v>118</v>
      </c>
      <c r="AB861" s="3" t="s">
        <v>37</v>
      </c>
      <c r="AC861" s="3" t="s">
        <v>53</v>
      </c>
      <c r="AD861" s="27" t="s">
        <v>119</v>
      </c>
      <c r="AE861" s="16">
        <v>455</v>
      </c>
      <c r="AF861" s="3">
        <v>524</v>
      </c>
      <c r="AG861" s="32">
        <v>11</v>
      </c>
      <c r="AH861" s="33" t="s">
        <v>54</v>
      </c>
    </row>
    <row r="862" ht="13.9" spans="1:34">
      <c r="A862" s="6">
        <v>7178</v>
      </c>
      <c r="B862" s="7">
        <v>0.4</v>
      </c>
      <c r="C862" s="6">
        <v>0.5</v>
      </c>
      <c r="D862" s="6">
        <v>2</v>
      </c>
      <c r="E862" s="6">
        <v>0.3</v>
      </c>
      <c r="F862" s="6">
        <v>2.75</v>
      </c>
      <c r="G862" s="6">
        <v>0.23</v>
      </c>
      <c r="H862" s="6">
        <v>6.8</v>
      </c>
      <c r="I862" s="6">
        <v>0</v>
      </c>
      <c r="J862" s="6">
        <v>0.2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8">
        <f t="shared" si="30"/>
        <v>86.82</v>
      </c>
      <c r="U862" s="7">
        <v>468</v>
      </c>
      <c r="V862" s="6">
        <v>121</v>
      </c>
      <c r="W862" s="6">
        <v>24</v>
      </c>
      <c r="X862" s="6" t="s">
        <v>53</v>
      </c>
      <c r="Y862" s="6" t="s">
        <v>73</v>
      </c>
      <c r="Z862" s="6" t="s">
        <v>84</v>
      </c>
      <c r="AA862" s="6" t="s">
        <v>74</v>
      </c>
      <c r="AB862" s="6" t="s">
        <v>37</v>
      </c>
      <c r="AC862" s="6" t="s">
        <v>53</v>
      </c>
      <c r="AD862" s="26" t="s">
        <v>90</v>
      </c>
      <c r="AE862" s="7">
        <v>540</v>
      </c>
      <c r="AF862" s="6">
        <v>605</v>
      </c>
      <c r="AG862" s="10">
        <v>11</v>
      </c>
      <c r="AH862" s="31" t="s">
        <v>54</v>
      </c>
    </row>
    <row r="863" ht="13.9" spans="1:34">
      <c r="A863" s="6">
        <v>7178</v>
      </c>
      <c r="B863" s="7">
        <v>0.4</v>
      </c>
      <c r="C863" s="6">
        <v>0.5</v>
      </c>
      <c r="D863" s="6">
        <v>2</v>
      </c>
      <c r="E863" s="6">
        <v>0.3</v>
      </c>
      <c r="F863" s="6">
        <v>2.75</v>
      </c>
      <c r="G863" s="6">
        <v>0.23</v>
      </c>
      <c r="H863" s="6">
        <v>6.8</v>
      </c>
      <c r="I863" s="6">
        <v>0</v>
      </c>
      <c r="J863" s="6">
        <v>0.2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8">
        <f t="shared" si="30"/>
        <v>86.82</v>
      </c>
      <c r="U863" s="7">
        <v>468</v>
      </c>
      <c r="V863" s="6">
        <v>121</v>
      </c>
      <c r="W863" s="6">
        <v>24</v>
      </c>
      <c r="X863" s="6" t="s">
        <v>53</v>
      </c>
      <c r="Y863" s="6" t="s">
        <v>73</v>
      </c>
      <c r="Z863" s="6" t="s">
        <v>37</v>
      </c>
      <c r="AA863" s="6" t="s">
        <v>74</v>
      </c>
      <c r="AB863" s="6" t="s">
        <v>37</v>
      </c>
      <c r="AC863" s="6" t="s">
        <v>53</v>
      </c>
      <c r="AD863" s="26" t="s">
        <v>77</v>
      </c>
      <c r="AE863" s="7">
        <v>540</v>
      </c>
      <c r="AF863" s="6">
        <v>605</v>
      </c>
      <c r="AG863" s="10">
        <v>11</v>
      </c>
      <c r="AH863" s="31" t="s">
        <v>54</v>
      </c>
    </row>
    <row r="864" ht="13.9" spans="1:34">
      <c r="A864" s="6">
        <v>7178</v>
      </c>
      <c r="B864" s="7">
        <v>0.4</v>
      </c>
      <c r="C864" s="6">
        <v>0.5</v>
      </c>
      <c r="D864" s="6">
        <v>2</v>
      </c>
      <c r="E864" s="6">
        <v>0.3</v>
      </c>
      <c r="F864" s="6">
        <v>2.75</v>
      </c>
      <c r="G864" s="6">
        <v>0.23</v>
      </c>
      <c r="H864" s="6">
        <v>6.8</v>
      </c>
      <c r="I864" s="6">
        <v>0</v>
      </c>
      <c r="J864" s="6">
        <v>0.2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8">
        <f t="shared" si="30"/>
        <v>86.82</v>
      </c>
      <c r="U864" s="7">
        <v>468</v>
      </c>
      <c r="V864" s="6">
        <v>121</v>
      </c>
      <c r="W864" s="6">
        <v>24</v>
      </c>
      <c r="X864" s="6" t="s">
        <v>53</v>
      </c>
      <c r="Y864" s="6" t="s">
        <v>73</v>
      </c>
      <c r="Z864" s="6" t="s">
        <v>37</v>
      </c>
      <c r="AA864" s="6" t="s">
        <v>118</v>
      </c>
      <c r="AB864" s="6" t="s">
        <v>37</v>
      </c>
      <c r="AC864" s="6" t="s">
        <v>53</v>
      </c>
      <c r="AD864" s="26" t="s">
        <v>119</v>
      </c>
      <c r="AE864" s="7">
        <v>505</v>
      </c>
      <c r="AF864" s="6">
        <v>570</v>
      </c>
      <c r="AG864" s="10">
        <v>11</v>
      </c>
      <c r="AH864" s="31" t="s">
        <v>54</v>
      </c>
    </row>
    <row r="865" s="3" customFormat="1" ht="13.9" spans="1:34">
      <c r="A865" s="3">
        <v>7178</v>
      </c>
      <c r="B865" s="16">
        <v>0.4</v>
      </c>
      <c r="C865" s="3">
        <v>0.5</v>
      </c>
      <c r="D865" s="3">
        <v>2</v>
      </c>
      <c r="E865" s="3">
        <v>0.3</v>
      </c>
      <c r="F865" s="3">
        <v>2.75</v>
      </c>
      <c r="G865" s="3">
        <v>0.23</v>
      </c>
      <c r="H865" s="3">
        <v>6.8</v>
      </c>
      <c r="I865" s="3">
        <v>0</v>
      </c>
      <c r="J865" s="3">
        <v>0.2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22">
        <f t="shared" si="30"/>
        <v>86.82</v>
      </c>
      <c r="U865" s="16">
        <v>468</v>
      </c>
      <c r="V865" s="3">
        <v>121</v>
      </c>
      <c r="W865" s="3">
        <v>24</v>
      </c>
      <c r="X865" s="3" t="s">
        <v>53</v>
      </c>
      <c r="Y865" s="3" t="s">
        <v>73</v>
      </c>
      <c r="Z865" s="3" t="s">
        <v>84</v>
      </c>
      <c r="AA865" s="3" t="s">
        <v>118</v>
      </c>
      <c r="AB865" s="3" t="s">
        <v>37</v>
      </c>
      <c r="AC865" s="3" t="s">
        <v>53</v>
      </c>
      <c r="AD865" s="27" t="s">
        <v>182</v>
      </c>
      <c r="AE865" s="16">
        <v>505</v>
      </c>
      <c r="AF865" s="3">
        <v>570</v>
      </c>
      <c r="AG865" s="32">
        <v>11</v>
      </c>
      <c r="AH865" s="33" t="s">
        <v>54</v>
      </c>
    </row>
    <row r="866" ht="13.9" spans="1:34">
      <c r="A866" s="6" t="s">
        <v>202</v>
      </c>
      <c r="B866" s="7">
        <v>0</v>
      </c>
      <c r="C866" s="6">
        <v>0</v>
      </c>
      <c r="D866" s="6">
        <v>0.37</v>
      </c>
      <c r="E866" s="6">
        <v>0.28</v>
      </c>
      <c r="F866" s="6">
        <v>1.96</v>
      </c>
      <c r="G866" s="6">
        <v>0</v>
      </c>
      <c r="H866" s="6">
        <v>5.45</v>
      </c>
      <c r="I866" s="6">
        <v>0</v>
      </c>
      <c r="J866" s="6">
        <v>0</v>
      </c>
      <c r="K866" s="6">
        <v>0.11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0.26</v>
      </c>
      <c r="T866" s="8">
        <v>91.57</v>
      </c>
      <c r="U866" s="7">
        <v>470</v>
      </c>
      <c r="V866" s="6">
        <v>120</v>
      </c>
      <c r="W866" s="6">
        <v>24</v>
      </c>
      <c r="X866" s="6" t="s">
        <v>42</v>
      </c>
      <c r="Y866" s="6" t="s">
        <v>73</v>
      </c>
      <c r="Z866" s="6" t="s">
        <v>37</v>
      </c>
      <c r="AA866" s="6" t="s">
        <v>74</v>
      </c>
      <c r="AB866" s="6" t="s">
        <v>37</v>
      </c>
      <c r="AC866" s="6" t="s">
        <v>43</v>
      </c>
      <c r="AD866" s="26" t="s">
        <v>77</v>
      </c>
      <c r="AE866" s="7">
        <v>561</v>
      </c>
      <c r="AF866" s="6">
        <v>584</v>
      </c>
      <c r="AG866" s="6">
        <v>11.1</v>
      </c>
      <c r="AH866" s="11" t="s">
        <v>203</v>
      </c>
    </row>
    <row r="867" ht="13.9" spans="1:34">
      <c r="A867" s="6" t="s">
        <v>202</v>
      </c>
      <c r="B867" s="7">
        <v>0</v>
      </c>
      <c r="C867" s="6">
        <v>0</v>
      </c>
      <c r="D867" s="6">
        <v>0.37</v>
      </c>
      <c r="E867" s="6">
        <v>0.28</v>
      </c>
      <c r="F867" s="6">
        <v>1.96</v>
      </c>
      <c r="G867" s="6">
        <v>0</v>
      </c>
      <c r="H867" s="6">
        <v>5.45</v>
      </c>
      <c r="I867" s="6">
        <v>0</v>
      </c>
      <c r="J867" s="6">
        <v>0</v>
      </c>
      <c r="K867" s="6">
        <v>0.11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0.26</v>
      </c>
      <c r="T867" s="8">
        <v>91.57</v>
      </c>
      <c r="U867" s="7">
        <v>470</v>
      </c>
      <c r="V867" s="6">
        <v>120</v>
      </c>
      <c r="W867" s="6">
        <v>32</v>
      </c>
      <c r="X867" s="6" t="s">
        <v>42</v>
      </c>
      <c r="Y867" s="6" t="s">
        <v>73</v>
      </c>
      <c r="Z867" s="6" t="s">
        <v>37</v>
      </c>
      <c r="AA867" s="6" t="s">
        <v>74</v>
      </c>
      <c r="AB867" s="6" t="s">
        <v>37</v>
      </c>
      <c r="AC867" s="6" t="s">
        <v>43</v>
      </c>
      <c r="AD867" s="26" t="s">
        <v>77</v>
      </c>
      <c r="AE867" s="7">
        <v>556.1</v>
      </c>
      <c r="AF867" s="6">
        <v>583.3</v>
      </c>
      <c r="AG867" s="6">
        <v>10.9</v>
      </c>
      <c r="AH867" s="11" t="s">
        <v>203</v>
      </c>
    </row>
    <row r="868" ht="13.9" spans="1:34">
      <c r="A868" s="6" t="s">
        <v>202</v>
      </c>
      <c r="B868" s="7">
        <v>0</v>
      </c>
      <c r="C868" s="6">
        <v>0</v>
      </c>
      <c r="D868" s="6">
        <v>0.37</v>
      </c>
      <c r="E868" s="6">
        <v>0.28</v>
      </c>
      <c r="F868" s="6">
        <v>1.96</v>
      </c>
      <c r="G868" s="6">
        <v>0</v>
      </c>
      <c r="H868" s="6">
        <v>5.45</v>
      </c>
      <c r="I868" s="6">
        <v>0</v>
      </c>
      <c r="J868" s="6">
        <v>0</v>
      </c>
      <c r="K868" s="6">
        <v>0.11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0.26</v>
      </c>
      <c r="T868" s="8">
        <v>91.57</v>
      </c>
      <c r="U868" s="7">
        <v>470</v>
      </c>
      <c r="V868" s="6">
        <v>120</v>
      </c>
      <c r="W868" s="6">
        <v>48</v>
      </c>
      <c r="X868" s="6" t="s">
        <v>42</v>
      </c>
      <c r="Y868" s="6" t="s">
        <v>73</v>
      </c>
      <c r="Z868" s="6" t="s">
        <v>37</v>
      </c>
      <c r="AA868" s="6" t="s">
        <v>74</v>
      </c>
      <c r="AB868" s="6" t="s">
        <v>37</v>
      </c>
      <c r="AC868" s="6" t="s">
        <v>43</v>
      </c>
      <c r="AD868" s="26" t="s">
        <v>77</v>
      </c>
      <c r="AE868" s="7">
        <v>548.7</v>
      </c>
      <c r="AF868" s="6">
        <v>577</v>
      </c>
      <c r="AG868" s="6">
        <v>10.8</v>
      </c>
      <c r="AH868" s="11" t="s">
        <v>203</v>
      </c>
    </row>
    <row r="869" ht="13.9" spans="1:34">
      <c r="A869" s="6" t="s">
        <v>202</v>
      </c>
      <c r="B869" s="7">
        <v>0</v>
      </c>
      <c r="C869" s="6">
        <v>0</v>
      </c>
      <c r="D869" s="6">
        <v>0.37</v>
      </c>
      <c r="E869" s="6">
        <v>0.28</v>
      </c>
      <c r="F869" s="6">
        <v>1.96</v>
      </c>
      <c r="G869" s="6">
        <v>0</v>
      </c>
      <c r="H869" s="6">
        <v>5.45</v>
      </c>
      <c r="I869" s="6">
        <v>0</v>
      </c>
      <c r="J869" s="6">
        <v>0</v>
      </c>
      <c r="K869" s="6">
        <v>0.11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0.26</v>
      </c>
      <c r="T869" s="8">
        <v>91.57</v>
      </c>
      <c r="U869" s="7">
        <v>470</v>
      </c>
      <c r="V869" s="6">
        <v>120</v>
      </c>
      <c r="W869" s="6">
        <v>12</v>
      </c>
      <c r="X869" s="6" t="s">
        <v>42</v>
      </c>
      <c r="Y869" s="6" t="s">
        <v>73</v>
      </c>
      <c r="Z869" s="6" t="s">
        <v>37</v>
      </c>
      <c r="AA869" s="6" t="s">
        <v>74</v>
      </c>
      <c r="AB869" s="6" t="s">
        <v>37</v>
      </c>
      <c r="AC869" s="6" t="s">
        <v>43</v>
      </c>
      <c r="AD869" s="26" t="s">
        <v>77</v>
      </c>
      <c r="AE869" s="7">
        <v>540.9</v>
      </c>
      <c r="AF869" s="6">
        <v>568</v>
      </c>
      <c r="AG869" s="6">
        <v>11.4</v>
      </c>
      <c r="AH869" s="11" t="s">
        <v>203</v>
      </c>
    </row>
    <row r="870" ht="13.9" spans="1:34">
      <c r="A870" s="6" t="s">
        <v>202</v>
      </c>
      <c r="B870" s="7">
        <v>0</v>
      </c>
      <c r="C870" s="6">
        <v>0</v>
      </c>
      <c r="D870" s="6">
        <v>0.37</v>
      </c>
      <c r="E870" s="6">
        <v>0.28</v>
      </c>
      <c r="F870" s="6">
        <v>1.96</v>
      </c>
      <c r="G870" s="6">
        <v>0</v>
      </c>
      <c r="H870" s="6">
        <v>5.45</v>
      </c>
      <c r="I870" s="6">
        <v>0</v>
      </c>
      <c r="J870" s="6">
        <v>0</v>
      </c>
      <c r="K870" s="6">
        <v>0.11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0.26</v>
      </c>
      <c r="T870" s="8">
        <v>91.57</v>
      </c>
      <c r="U870" s="7">
        <v>470</v>
      </c>
      <c r="V870" s="6">
        <v>120</v>
      </c>
      <c r="W870" s="6">
        <v>4</v>
      </c>
      <c r="X870" s="6" t="s">
        <v>42</v>
      </c>
      <c r="Y870" s="6" t="s">
        <v>73</v>
      </c>
      <c r="Z870" s="6" t="s">
        <v>37</v>
      </c>
      <c r="AA870" s="6" t="s">
        <v>74</v>
      </c>
      <c r="AB870" s="6" t="s">
        <v>37</v>
      </c>
      <c r="AC870" s="6" t="s">
        <v>43</v>
      </c>
      <c r="AD870" s="26" t="s">
        <v>77</v>
      </c>
      <c r="AE870" s="7">
        <v>524.2</v>
      </c>
      <c r="AF870" s="6">
        <v>548.7</v>
      </c>
      <c r="AG870" s="6">
        <v>12.3</v>
      </c>
      <c r="AH870" s="11" t="s">
        <v>203</v>
      </c>
    </row>
    <row r="871" ht="13.9" spans="1:34">
      <c r="A871" s="6" t="s">
        <v>202</v>
      </c>
      <c r="B871" s="7">
        <v>0.16</v>
      </c>
      <c r="C871" s="6">
        <v>0.28</v>
      </c>
      <c r="D871" s="6">
        <v>4.52</v>
      </c>
      <c r="E871" s="6">
        <v>0.58</v>
      </c>
      <c r="F871" s="6">
        <v>1.62</v>
      </c>
      <c r="G871" s="6">
        <v>0</v>
      </c>
      <c r="H871" s="6">
        <v>0.2</v>
      </c>
      <c r="I871" s="6">
        <v>0</v>
      </c>
      <c r="J871" s="6">
        <v>0.1</v>
      </c>
      <c r="K871" s="6">
        <v>0</v>
      </c>
      <c r="L871" s="6">
        <v>0</v>
      </c>
      <c r="M871" s="6">
        <v>0.1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8">
        <f>100-SUM(B871:S871)</f>
        <v>92.44</v>
      </c>
      <c r="U871" s="7">
        <v>495</v>
      </c>
      <c r="V871" s="6">
        <v>160</v>
      </c>
      <c r="W871" s="6">
        <v>3</v>
      </c>
      <c r="X871" s="6" t="s">
        <v>42</v>
      </c>
      <c r="Y871" s="6" t="s">
        <v>73</v>
      </c>
      <c r="Z871" s="6" t="s">
        <v>37</v>
      </c>
      <c r="AA871" s="6" t="s">
        <v>74</v>
      </c>
      <c r="AB871" s="6" t="s">
        <v>37</v>
      </c>
      <c r="AC871" s="6" t="s">
        <v>59</v>
      </c>
      <c r="AD871" s="26" t="s">
        <v>77</v>
      </c>
      <c r="AE871" s="7">
        <v>327</v>
      </c>
      <c r="AF871" s="6">
        <v>411</v>
      </c>
      <c r="AG871" s="10">
        <v>17.8</v>
      </c>
      <c r="AH871" s="48" t="s">
        <v>204</v>
      </c>
    </row>
    <row r="872" ht="13.9" spans="1:34">
      <c r="A872" s="6" t="s">
        <v>202</v>
      </c>
      <c r="B872" s="7">
        <v>0</v>
      </c>
      <c r="C872" s="6">
        <v>0</v>
      </c>
      <c r="D872" s="6">
        <v>0.53</v>
      </c>
      <c r="E872" s="6">
        <v>0.49</v>
      </c>
      <c r="F872" s="6">
        <v>2.04</v>
      </c>
      <c r="G872" s="6">
        <v>0</v>
      </c>
      <c r="H872" s="6">
        <v>0</v>
      </c>
      <c r="I872" s="6">
        <v>0</v>
      </c>
      <c r="J872" s="6">
        <v>0</v>
      </c>
      <c r="K872" s="6">
        <v>0.13</v>
      </c>
      <c r="L872" s="6">
        <v>2.72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8">
        <f>100-SUM(B872:S872)</f>
        <v>94.09</v>
      </c>
      <c r="U872" s="7">
        <v>538</v>
      </c>
      <c r="V872" s="6">
        <v>190</v>
      </c>
      <c r="W872" s="6">
        <v>24</v>
      </c>
      <c r="X872" s="6" t="s">
        <v>42</v>
      </c>
      <c r="Y872" s="6" t="s">
        <v>73</v>
      </c>
      <c r="Z872" s="6" t="s">
        <v>37</v>
      </c>
      <c r="AA872" s="6" t="s">
        <v>74</v>
      </c>
      <c r="AB872" s="6" t="s">
        <v>37</v>
      </c>
      <c r="AC872" s="6" t="s">
        <v>59</v>
      </c>
      <c r="AD872" s="26" t="s">
        <v>77</v>
      </c>
      <c r="AE872" s="7">
        <v>392</v>
      </c>
      <c r="AF872" s="6" t="s">
        <v>40</v>
      </c>
      <c r="AG872" s="10" t="s">
        <v>40</v>
      </c>
      <c r="AH872" s="11" t="s">
        <v>205</v>
      </c>
    </row>
    <row r="873" ht="13.9" spans="1:34">
      <c r="A873" s="6" t="s">
        <v>202</v>
      </c>
      <c r="B873" s="7">
        <v>0</v>
      </c>
      <c r="C873" s="6">
        <v>0</v>
      </c>
      <c r="D873" s="6">
        <v>0.53</v>
      </c>
      <c r="E873" s="6">
        <v>0.49</v>
      </c>
      <c r="F873" s="6">
        <v>2.04</v>
      </c>
      <c r="G873" s="6">
        <v>0</v>
      </c>
      <c r="H873" s="6">
        <v>0</v>
      </c>
      <c r="I873" s="6">
        <v>0</v>
      </c>
      <c r="J873" s="6">
        <v>0</v>
      </c>
      <c r="K873" s="6">
        <v>0.13</v>
      </c>
      <c r="L873" s="6">
        <v>2.72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8">
        <f>100-SUM(B873:S873)</f>
        <v>94.09</v>
      </c>
      <c r="U873" s="7">
        <v>538</v>
      </c>
      <c r="V873" s="6">
        <v>163</v>
      </c>
      <c r="W873" s="6">
        <v>24</v>
      </c>
      <c r="X873" s="6" t="s">
        <v>42</v>
      </c>
      <c r="Y873" s="6" t="s">
        <v>73</v>
      </c>
      <c r="Z873" s="6" t="s">
        <v>37</v>
      </c>
      <c r="AA873" s="6" t="s">
        <v>74</v>
      </c>
      <c r="AB873" s="6" t="s">
        <v>37</v>
      </c>
      <c r="AC873" s="6" t="s">
        <v>59</v>
      </c>
      <c r="AD873" s="26" t="s">
        <v>77</v>
      </c>
      <c r="AE873" s="7">
        <v>367</v>
      </c>
      <c r="AF873" s="6" t="s">
        <v>40</v>
      </c>
      <c r="AG873" s="10" t="s">
        <v>40</v>
      </c>
      <c r="AH873" s="11" t="s">
        <v>205</v>
      </c>
    </row>
    <row r="874" ht="13.9" spans="1:34">
      <c r="A874" s="6" t="s">
        <v>202</v>
      </c>
      <c r="B874" s="7">
        <v>0</v>
      </c>
      <c r="C874" s="6">
        <v>0</v>
      </c>
      <c r="D874" s="6">
        <v>0.49</v>
      </c>
      <c r="E874" s="6">
        <v>0.5</v>
      </c>
      <c r="F874" s="6">
        <v>0.98</v>
      </c>
      <c r="G874" s="6">
        <v>0</v>
      </c>
      <c r="H874" s="6">
        <v>0</v>
      </c>
      <c r="I874" s="6">
        <v>0</v>
      </c>
      <c r="J874" s="6">
        <v>0</v>
      </c>
      <c r="K874" s="6">
        <v>0.12</v>
      </c>
      <c r="L874" s="6">
        <v>2.78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8">
        <f>100-SUM(B874:S874)</f>
        <v>95.13</v>
      </c>
      <c r="U874" s="7">
        <v>538</v>
      </c>
      <c r="V874" s="6">
        <v>190</v>
      </c>
      <c r="W874" s="6">
        <v>24</v>
      </c>
      <c r="X874" s="6" t="s">
        <v>42</v>
      </c>
      <c r="Y874" s="6" t="s">
        <v>73</v>
      </c>
      <c r="Z874" s="6" t="s">
        <v>37</v>
      </c>
      <c r="AA874" s="6" t="s">
        <v>74</v>
      </c>
      <c r="AB874" s="6" t="s">
        <v>37</v>
      </c>
      <c r="AC874" s="6" t="s">
        <v>59</v>
      </c>
      <c r="AD874" s="26" t="s">
        <v>77</v>
      </c>
      <c r="AE874" s="7">
        <v>353</v>
      </c>
      <c r="AF874" s="6" t="s">
        <v>40</v>
      </c>
      <c r="AG874" s="10" t="s">
        <v>40</v>
      </c>
      <c r="AH874" s="11" t="s">
        <v>205</v>
      </c>
    </row>
    <row r="875" ht="13.9" spans="1:34">
      <c r="A875" s="6" t="s">
        <v>202</v>
      </c>
      <c r="B875" s="7">
        <v>0</v>
      </c>
      <c r="C875" s="6">
        <v>0</v>
      </c>
      <c r="D875" s="6">
        <v>0.49</v>
      </c>
      <c r="E875" s="6">
        <v>0.5</v>
      </c>
      <c r="F875" s="6">
        <v>0.98</v>
      </c>
      <c r="G875" s="6">
        <v>0</v>
      </c>
      <c r="H875" s="6">
        <v>0</v>
      </c>
      <c r="I875" s="6">
        <v>0</v>
      </c>
      <c r="J875" s="6">
        <v>0</v>
      </c>
      <c r="K875" s="6">
        <v>0.12</v>
      </c>
      <c r="L875" s="6">
        <v>2.78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8">
        <f>100-SUM(B875:S875)</f>
        <v>95.13</v>
      </c>
      <c r="U875" s="7">
        <v>538</v>
      </c>
      <c r="V875" s="6">
        <v>163</v>
      </c>
      <c r="W875" s="6">
        <v>24</v>
      </c>
      <c r="X875" s="6" t="s">
        <v>42</v>
      </c>
      <c r="Y875" s="6" t="s">
        <v>73</v>
      </c>
      <c r="Z875" s="6" t="s">
        <v>37</v>
      </c>
      <c r="AA875" s="6" t="s">
        <v>74</v>
      </c>
      <c r="AB875" s="6" t="s">
        <v>37</v>
      </c>
      <c r="AC875" s="6" t="s">
        <v>59</v>
      </c>
      <c r="AD875" s="26" t="s">
        <v>77</v>
      </c>
      <c r="AE875" s="7">
        <v>314</v>
      </c>
      <c r="AF875" s="6" t="s">
        <v>40</v>
      </c>
      <c r="AG875" s="10" t="s">
        <v>40</v>
      </c>
      <c r="AH875" s="11" t="s">
        <v>205</v>
      </c>
    </row>
    <row r="876" ht="13.9" spans="1:34">
      <c r="A876" s="6" t="s">
        <v>202</v>
      </c>
      <c r="B876" s="7">
        <v>0.18</v>
      </c>
      <c r="C876" s="6">
        <v>0.11</v>
      </c>
      <c r="D876" s="6">
        <v>0.33</v>
      </c>
      <c r="E876" s="6">
        <v>0.32</v>
      </c>
      <c r="F876" s="6">
        <v>1.98</v>
      </c>
      <c r="G876" s="6">
        <v>0</v>
      </c>
      <c r="H876" s="6">
        <v>5.7</v>
      </c>
      <c r="I876" s="6">
        <v>0</v>
      </c>
      <c r="J876" s="6">
        <v>0</v>
      </c>
      <c r="K876" s="6">
        <v>0.1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0.25</v>
      </c>
      <c r="T876" s="8">
        <v>91.03</v>
      </c>
      <c r="U876" s="7">
        <v>470</v>
      </c>
      <c r="V876" s="6">
        <v>120</v>
      </c>
      <c r="W876" s="6">
        <v>24</v>
      </c>
      <c r="X876" s="6" t="s">
        <v>42</v>
      </c>
      <c r="Y876" s="6" t="s">
        <v>73</v>
      </c>
      <c r="Z876" s="6" t="s">
        <v>37</v>
      </c>
      <c r="AA876" s="6" t="s">
        <v>74</v>
      </c>
      <c r="AB876" s="6" t="s">
        <v>37</v>
      </c>
      <c r="AC876" s="6" t="s">
        <v>43</v>
      </c>
      <c r="AD876" s="26" t="s">
        <v>77</v>
      </c>
      <c r="AE876" s="7">
        <v>524.1</v>
      </c>
      <c r="AF876" s="6">
        <v>555</v>
      </c>
      <c r="AG876" s="6">
        <v>12.4</v>
      </c>
      <c r="AH876" s="11" t="s">
        <v>206</v>
      </c>
    </row>
    <row r="877" ht="13.9" spans="1:34">
      <c r="A877" s="6" t="s">
        <v>202</v>
      </c>
      <c r="B877" s="7">
        <v>0.18</v>
      </c>
      <c r="C877" s="6">
        <v>0.11</v>
      </c>
      <c r="D877" s="6">
        <v>0.33</v>
      </c>
      <c r="E877" s="6">
        <v>0.32</v>
      </c>
      <c r="F877" s="6">
        <v>1.98</v>
      </c>
      <c r="G877" s="6">
        <v>0</v>
      </c>
      <c r="H877" s="6">
        <v>5.7</v>
      </c>
      <c r="I877" s="6">
        <v>0</v>
      </c>
      <c r="J877" s="6">
        <v>0</v>
      </c>
      <c r="K877" s="6">
        <v>0.1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0.25</v>
      </c>
      <c r="T877" s="8">
        <v>91.03</v>
      </c>
      <c r="U877" s="7">
        <v>470</v>
      </c>
      <c r="V877" s="6">
        <v>120</v>
      </c>
      <c r="W877" s="6">
        <v>20</v>
      </c>
      <c r="X877" s="6" t="s">
        <v>42</v>
      </c>
      <c r="Y877" s="6" t="s">
        <v>73</v>
      </c>
      <c r="Z877" s="6" t="s">
        <v>37</v>
      </c>
      <c r="AA877" s="6" t="s">
        <v>74</v>
      </c>
      <c r="AB877" s="6" t="s">
        <v>37</v>
      </c>
      <c r="AC877" s="6" t="s">
        <v>43</v>
      </c>
      <c r="AD877" s="26" t="s">
        <v>77</v>
      </c>
      <c r="AE877" s="7">
        <v>524.4</v>
      </c>
      <c r="AF877" s="6">
        <v>547.7</v>
      </c>
      <c r="AG877" s="6">
        <v>12.6</v>
      </c>
      <c r="AH877" s="11" t="s">
        <v>206</v>
      </c>
    </row>
    <row r="878" ht="13.9" spans="1:34">
      <c r="A878" s="6" t="s">
        <v>202</v>
      </c>
      <c r="B878" s="7">
        <v>0.18</v>
      </c>
      <c r="C878" s="6">
        <v>0.11</v>
      </c>
      <c r="D878" s="6">
        <v>0.33</v>
      </c>
      <c r="E878" s="6">
        <v>0.32</v>
      </c>
      <c r="F878" s="6">
        <v>1.98</v>
      </c>
      <c r="G878" s="6">
        <v>0</v>
      </c>
      <c r="H878" s="6">
        <v>5.7</v>
      </c>
      <c r="I878" s="6">
        <v>0</v>
      </c>
      <c r="J878" s="6">
        <v>0</v>
      </c>
      <c r="K878" s="6">
        <v>0.1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0.25</v>
      </c>
      <c r="T878" s="8">
        <v>91.03</v>
      </c>
      <c r="U878" s="7">
        <v>470</v>
      </c>
      <c r="V878" s="6">
        <v>120</v>
      </c>
      <c r="W878" s="6">
        <v>28</v>
      </c>
      <c r="X878" s="6" t="s">
        <v>42</v>
      </c>
      <c r="Y878" s="6" t="s">
        <v>73</v>
      </c>
      <c r="Z878" s="6" t="s">
        <v>37</v>
      </c>
      <c r="AA878" s="6" t="s">
        <v>74</v>
      </c>
      <c r="AB878" s="6" t="s">
        <v>37</v>
      </c>
      <c r="AC878" s="6" t="s">
        <v>43</v>
      </c>
      <c r="AD878" s="26" t="s">
        <v>77</v>
      </c>
      <c r="AE878" s="7">
        <v>522.4</v>
      </c>
      <c r="AF878" s="6">
        <v>546.7</v>
      </c>
      <c r="AG878" s="6">
        <v>11</v>
      </c>
      <c r="AH878" s="11" t="s">
        <v>206</v>
      </c>
    </row>
    <row r="879" ht="13.9" spans="1:34">
      <c r="A879" s="6" t="s">
        <v>202</v>
      </c>
      <c r="B879" s="7">
        <v>0.18</v>
      </c>
      <c r="C879" s="6">
        <v>0.11</v>
      </c>
      <c r="D879" s="6">
        <v>0.33</v>
      </c>
      <c r="E879" s="6">
        <v>0.32</v>
      </c>
      <c r="F879" s="6">
        <v>1.98</v>
      </c>
      <c r="G879" s="6">
        <v>0</v>
      </c>
      <c r="H879" s="6">
        <v>5.7</v>
      </c>
      <c r="I879" s="6">
        <v>0</v>
      </c>
      <c r="J879" s="6">
        <v>0</v>
      </c>
      <c r="K879" s="6">
        <v>0.1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0.25</v>
      </c>
      <c r="T879" s="8">
        <v>91.03</v>
      </c>
      <c r="U879" s="7">
        <v>460</v>
      </c>
      <c r="V879" s="6">
        <v>120</v>
      </c>
      <c r="W879" s="6">
        <v>24</v>
      </c>
      <c r="X879" s="6" t="s">
        <v>42</v>
      </c>
      <c r="Y879" s="6" t="s">
        <v>73</v>
      </c>
      <c r="Z879" s="6" t="s">
        <v>37</v>
      </c>
      <c r="AA879" s="6" t="s">
        <v>74</v>
      </c>
      <c r="AB879" s="6" t="s">
        <v>37</v>
      </c>
      <c r="AC879" s="6" t="s">
        <v>43</v>
      </c>
      <c r="AD879" s="26" t="s">
        <v>77</v>
      </c>
      <c r="AE879" s="7">
        <v>516.3</v>
      </c>
      <c r="AF879" s="6">
        <v>544.9</v>
      </c>
      <c r="AG879" s="6">
        <v>12.2</v>
      </c>
      <c r="AH879" s="11" t="s">
        <v>206</v>
      </c>
    </row>
    <row r="880" ht="13.9" spans="1:34">
      <c r="A880" s="6" t="s">
        <v>202</v>
      </c>
      <c r="B880" s="7">
        <v>0.18</v>
      </c>
      <c r="C880" s="6">
        <v>0.11</v>
      </c>
      <c r="D880" s="6">
        <v>0.33</v>
      </c>
      <c r="E880" s="6">
        <v>0.32</v>
      </c>
      <c r="F880" s="6">
        <v>1.98</v>
      </c>
      <c r="G880" s="6">
        <v>0</v>
      </c>
      <c r="H880" s="6">
        <v>5.7</v>
      </c>
      <c r="I880" s="6">
        <v>0</v>
      </c>
      <c r="J880" s="6">
        <v>0</v>
      </c>
      <c r="K880" s="6">
        <v>0.1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0.25</v>
      </c>
      <c r="T880" s="8">
        <v>91.03</v>
      </c>
      <c r="U880" s="7">
        <v>450</v>
      </c>
      <c r="V880" s="6">
        <v>120</v>
      </c>
      <c r="W880" s="6">
        <v>24</v>
      </c>
      <c r="X880" s="6" t="s">
        <v>42</v>
      </c>
      <c r="Y880" s="6" t="s">
        <v>73</v>
      </c>
      <c r="Z880" s="6" t="s">
        <v>37</v>
      </c>
      <c r="AA880" s="6" t="s">
        <v>74</v>
      </c>
      <c r="AB880" s="6" t="s">
        <v>37</v>
      </c>
      <c r="AC880" s="6" t="s">
        <v>43</v>
      </c>
      <c r="AD880" s="26" t="s">
        <v>77</v>
      </c>
      <c r="AE880" s="7">
        <v>511.5</v>
      </c>
      <c r="AF880" s="6">
        <v>544.6</v>
      </c>
      <c r="AG880" s="6">
        <v>12.3</v>
      </c>
      <c r="AH880" s="11" t="s">
        <v>206</v>
      </c>
    </row>
    <row r="881" ht="13.9" spans="1:34">
      <c r="A881" s="6" t="s">
        <v>202</v>
      </c>
      <c r="B881" s="7">
        <v>0.18</v>
      </c>
      <c r="C881" s="6">
        <v>0.11</v>
      </c>
      <c r="D881" s="6">
        <v>0.33</v>
      </c>
      <c r="E881" s="6">
        <v>0.32</v>
      </c>
      <c r="F881" s="6">
        <v>1.98</v>
      </c>
      <c r="G881" s="6">
        <v>0</v>
      </c>
      <c r="H881" s="6">
        <v>5.7</v>
      </c>
      <c r="I881" s="6">
        <v>0</v>
      </c>
      <c r="J881" s="6">
        <v>0</v>
      </c>
      <c r="K881" s="6">
        <v>0.1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0.25</v>
      </c>
      <c r="T881" s="8">
        <v>91.03</v>
      </c>
      <c r="U881" s="7">
        <v>470</v>
      </c>
      <c r="V881" s="6">
        <v>110</v>
      </c>
      <c r="W881" s="6">
        <v>24</v>
      </c>
      <c r="X881" s="6" t="s">
        <v>42</v>
      </c>
      <c r="Y881" s="6" t="s">
        <v>73</v>
      </c>
      <c r="Z881" s="6" t="s">
        <v>37</v>
      </c>
      <c r="AA881" s="6" t="s">
        <v>74</v>
      </c>
      <c r="AB881" s="6" t="s">
        <v>37</v>
      </c>
      <c r="AC881" s="6" t="s">
        <v>43</v>
      </c>
      <c r="AD881" s="26" t="s">
        <v>77</v>
      </c>
      <c r="AE881" s="7">
        <v>512.8</v>
      </c>
      <c r="AF881" s="6">
        <v>544</v>
      </c>
      <c r="AG881" s="6">
        <v>15</v>
      </c>
      <c r="AH881" s="11" t="s">
        <v>206</v>
      </c>
    </row>
    <row r="882" ht="13.9" spans="1:34">
      <c r="A882" s="6" t="s">
        <v>202</v>
      </c>
      <c r="B882" s="7">
        <v>0.18</v>
      </c>
      <c r="C882" s="6">
        <v>0.11</v>
      </c>
      <c r="D882" s="6">
        <v>0.33</v>
      </c>
      <c r="E882" s="6">
        <v>0.32</v>
      </c>
      <c r="F882" s="6">
        <v>1.98</v>
      </c>
      <c r="G882" s="6">
        <v>0</v>
      </c>
      <c r="H882" s="6">
        <v>5.7</v>
      </c>
      <c r="I882" s="6">
        <v>0</v>
      </c>
      <c r="J882" s="6">
        <v>0</v>
      </c>
      <c r="K882" s="6">
        <v>0.1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0.25</v>
      </c>
      <c r="T882" s="8">
        <v>91.03</v>
      </c>
      <c r="U882" s="7">
        <v>470</v>
      </c>
      <c r="V882" s="6">
        <v>120</v>
      </c>
      <c r="W882" s="6">
        <v>16</v>
      </c>
      <c r="X882" s="6" t="s">
        <v>42</v>
      </c>
      <c r="Y882" s="6" t="s">
        <v>73</v>
      </c>
      <c r="Z882" s="6" t="s">
        <v>37</v>
      </c>
      <c r="AA882" s="6" t="s">
        <v>74</v>
      </c>
      <c r="AB882" s="6" t="s">
        <v>37</v>
      </c>
      <c r="AC882" s="6" t="s">
        <v>43</v>
      </c>
      <c r="AD882" s="26" t="s">
        <v>77</v>
      </c>
      <c r="AE882" s="7">
        <v>520.4</v>
      </c>
      <c r="AF882" s="6">
        <v>543.6</v>
      </c>
      <c r="AG882" s="6">
        <v>12.7</v>
      </c>
      <c r="AH882" s="11" t="s">
        <v>206</v>
      </c>
    </row>
    <row r="883" ht="13.9" spans="1:34">
      <c r="A883" s="6" t="s">
        <v>202</v>
      </c>
      <c r="B883" s="7">
        <v>0.18</v>
      </c>
      <c r="C883" s="6">
        <v>0.11</v>
      </c>
      <c r="D883" s="6">
        <v>0.33</v>
      </c>
      <c r="E883" s="6">
        <v>0.32</v>
      </c>
      <c r="F883" s="6">
        <v>1.98</v>
      </c>
      <c r="G883" s="6">
        <v>0</v>
      </c>
      <c r="H883" s="6">
        <v>5.7</v>
      </c>
      <c r="I883" s="6">
        <v>0</v>
      </c>
      <c r="J883" s="6">
        <v>0</v>
      </c>
      <c r="K883" s="6">
        <v>0.1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0.25</v>
      </c>
      <c r="T883" s="8">
        <v>91.03</v>
      </c>
      <c r="U883" s="7">
        <v>480</v>
      </c>
      <c r="V883" s="6">
        <v>120</v>
      </c>
      <c r="W883" s="6">
        <v>24</v>
      </c>
      <c r="X883" s="6" t="s">
        <v>42</v>
      </c>
      <c r="Y883" s="6" t="s">
        <v>73</v>
      </c>
      <c r="Z883" s="6" t="s">
        <v>37</v>
      </c>
      <c r="AA883" s="6" t="s">
        <v>74</v>
      </c>
      <c r="AB883" s="6" t="s">
        <v>37</v>
      </c>
      <c r="AC883" s="6" t="s">
        <v>43</v>
      </c>
      <c r="AD883" s="26" t="s">
        <v>77</v>
      </c>
      <c r="AE883" s="7">
        <v>512.8</v>
      </c>
      <c r="AF883" s="6">
        <v>543</v>
      </c>
      <c r="AG883" s="6">
        <v>13.3</v>
      </c>
      <c r="AH883" s="11" t="s">
        <v>206</v>
      </c>
    </row>
    <row r="884" ht="13.9" spans="1:34">
      <c r="A884" s="6" t="s">
        <v>202</v>
      </c>
      <c r="B884" s="7">
        <v>0.18</v>
      </c>
      <c r="C884" s="6">
        <v>0.11</v>
      </c>
      <c r="D884" s="6">
        <v>0.33</v>
      </c>
      <c r="E884" s="6">
        <v>0.32</v>
      </c>
      <c r="F884" s="6">
        <v>1.98</v>
      </c>
      <c r="G884" s="6">
        <v>0</v>
      </c>
      <c r="H884" s="6">
        <v>5.7</v>
      </c>
      <c r="I884" s="6">
        <v>0</v>
      </c>
      <c r="J884" s="6">
        <v>0</v>
      </c>
      <c r="K884" s="6">
        <v>0.1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0.25</v>
      </c>
      <c r="T884" s="8">
        <v>91.03</v>
      </c>
      <c r="U884" s="7">
        <v>470</v>
      </c>
      <c r="V884" s="6">
        <v>120</v>
      </c>
      <c r="W884" s="6">
        <v>36</v>
      </c>
      <c r="X884" s="6" t="s">
        <v>42</v>
      </c>
      <c r="Y884" s="6" t="s">
        <v>73</v>
      </c>
      <c r="Z884" s="6" t="s">
        <v>37</v>
      </c>
      <c r="AA884" s="6" t="s">
        <v>74</v>
      </c>
      <c r="AB884" s="6" t="s">
        <v>37</v>
      </c>
      <c r="AC884" s="6" t="s">
        <v>43</v>
      </c>
      <c r="AD884" s="26" t="s">
        <v>77</v>
      </c>
      <c r="AE884" s="7">
        <v>516.3</v>
      </c>
      <c r="AF884" s="6">
        <v>541.6</v>
      </c>
      <c r="AG884" s="6">
        <v>10</v>
      </c>
      <c r="AH884" s="11" t="s">
        <v>206</v>
      </c>
    </row>
    <row r="885" ht="13.9" spans="1:34">
      <c r="A885" s="6" t="s">
        <v>202</v>
      </c>
      <c r="B885" s="7">
        <v>0.18</v>
      </c>
      <c r="C885" s="6">
        <v>0.11</v>
      </c>
      <c r="D885" s="6">
        <v>0.33</v>
      </c>
      <c r="E885" s="6">
        <v>0.32</v>
      </c>
      <c r="F885" s="6">
        <v>1.98</v>
      </c>
      <c r="G885" s="6">
        <v>0</v>
      </c>
      <c r="H885" s="6">
        <v>5.7</v>
      </c>
      <c r="I885" s="6">
        <v>0</v>
      </c>
      <c r="J885" s="6">
        <v>0</v>
      </c>
      <c r="K885" s="6">
        <v>0.1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0.25</v>
      </c>
      <c r="T885" s="8">
        <v>91.03</v>
      </c>
      <c r="U885" s="7">
        <v>490</v>
      </c>
      <c r="V885" s="6">
        <v>120</v>
      </c>
      <c r="W885" s="6">
        <v>24</v>
      </c>
      <c r="X885" s="6" t="s">
        <v>42</v>
      </c>
      <c r="Y885" s="6" t="s">
        <v>73</v>
      </c>
      <c r="Z885" s="6" t="s">
        <v>37</v>
      </c>
      <c r="AA885" s="6" t="s">
        <v>74</v>
      </c>
      <c r="AB885" s="6" t="s">
        <v>37</v>
      </c>
      <c r="AC885" s="6" t="s">
        <v>43</v>
      </c>
      <c r="AD885" s="26" t="s">
        <v>77</v>
      </c>
      <c r="AE885" s="7">
        <v>511.9</v>
      </c>
      <c r="AF885" s="6">
        <v>539.7</v>
      </c>
      <c r="AG885" s="6">
        <v>11.9</v>
      </c>
      <c r="AH885" s="11" t="s">
        <v>206</v>
      </c>
    </row>
    <row r="886" ht="13.9" spans="1:34">
      <c r="A886" s="6" t="s">
        <v>202</v>
      </c>
      <c r="B886" s="7">
        <v>0.18</v>
      </c>
      <c r="C886" s="6">
        <v>0.11</v>
      </c>
      <c r="D886" s="6">
        <v>0.33</v>
      </c>
      <c r="E886" s="6">
        <v>0.32</v>
      </c>
      <c r="F886" s="6">
        <v>1.98</v>
      </c>
      <c r="G886" s="6">
        <v>0</v>
      </c>
      <c r="H886" s="6">
        <v>5.7</v>
      </c>
      <c r="I886" s="6">
        <v>0</v>
      </c>
      <c r="J886" s="6">
        <v>0</v>
      </c>
      <c r="K886" s="6">
        <v>0.1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0.25</v>
      </c>
      <c r="T886" s="8">
        <v>91.03</v>
      </c>
      <c r="U886" s="7">
        <v>470</v>
      </c>
      <c r="V886" s="6">
        <v>100</v>
      </c>
      <c r="W886" s="6">
        <v>24</v>
      </c>
      <c r="X886" s="6" t="s">
        <v>42</v>
      </c>
      <c r="Y886" s="6" t="s">
        <v>73</v>
      </c>
      <c r="Z886" s="6" t="s">
        <v>37</v>
      </c>
      <c r="AA886" s="6" t="s">
        <v>74</v>
      </c>
      <c r="AB886" s="6" t="s">
        <v>37</v>
      </c>
      <c r="AC886" s="6" t="s">
        <v>43</v>
      </c>
      <c r="AD886" s="26" t="s">
        <v>77</v>
      </c>
      <c r="AE886" s="7">
        <v>458.4</v>
      </c>
      <c r="AF886" s="6">
        <v>530.8</v>
      </c>
      <c r="AG886" s="6">
        <v>16.9</v>
      </c>
      <c r="AH886" s="11" t="s">
        <v>206</v>
      </c>
    </row>
    <row r="887" ht="13.9" spans="1:34">
      <c r="A887" s="6" t="s">
        <v>202</v>
      </c>
      <c r="B887" s="7">
        <v>0.18</v>
      </c>
      <c r="C887" s="6">
        <v>0.11</v>
      </c>
      <c r="D887" s="6">
        <v>0.33</v>
      </c>
      <c r="E887" s="6">
        <v>0.32</v>
      </c>
      <c r="F887" s="6">
        <v>1.98</v>
      </c>
      <c r="G887" s="6">
        <v>0</v>
      </c>
      <c r="H887" s="6">
        <v>5.7</v>
      </c>
      <c r="I887" s="6">
        <v>0</v>
      </c>
      <c r="J887" s="6">
        <v>0</v>
      </c>
      <c r="K887" s="6">
        <v>0.1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0.25</v>
      </c>
      <c r="T887" s="8">
        <v>91.03</v>
      </c>
      <c r="U887" s="7">
        <v>470</v>
      </c>
      <c r="V887" s="6">
        <v>130</v>
      </c>
      <c r="W887" s="6">
        <v>24</v>
      </c>
      <c r="X887" s="6" t="s">
        <v>42</v>
      </c>
      <c r="Y887" s="6" t="s">
        <v>73</v>
      </c>
      <c r="Z887" s="6" t="s">
        <v>37</v>
      </c>
      <c r="AA887" s="6" t="s">
        <v>74</v>
      </c>
      <c r="AB887" s="6" t="s">
        <v>37</v>
      </c>
      <c r="AC887" s="6" t="s">
        <v>43</v>
      </c>
      <c r="AD887" s="26" t="s">
        <v>77</v>
      </c>
      <c r="AE887" s="7">
        <v>507.3</v>
      </c>
      <c r="AF887" s="6">
        <v>527.8</v>
      </c>
      <c r="AG887" s="6">
        <v>12.3</v>
      </c>
      <c r="AH887" s="11" t="s">
        <v>206</v>
      </c>
    </row>
    <row r="888" ht="13.9" spans="1:34">
      <c r="A888" s="6" t="s">
        <v>202</v>
      </c>
      <c r="B888" s="7">
        <v>0.18</v>
      </c>
      <c r="C888" s="6">
        <v>0.11</v>
      </c>
      <c r="D888" s="6">
        <v>0.33</v>
      </c>
      <c r="E888" s="6">
        <v>0.32</v>
      </c>
      <c r="F888" s="6">
        <v>1.98</v>
      </c>
      <c r="G888" s="6">
        <v>0</v>
      </c>
      <c r="H888" s="6">
        <v>5.7</v>
      </c>
      <c r="I888" s="6">
        <v>0</v>
      </c>
      <c r="J888" s="6">
        <v>0</v>
      </c>
      <c r="K888" s="6">
        <v>0.1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0.25</v>
      </c>
      <c r="T888" s="8">
        <v>91.03</v>
      </c>
      <c r="U888" s="7">
        <v>470</v>
      </c>
      <c r="V888" s="6">
        <v>120</v>
      </c>
      <c r="W888" s="6">
        <v>12</v>
      </c>
      <c r="X888" s="6" t="s">
        <v>42</v>
      </c>
      <c r="Y888" s="6" t="s">
        <v>73</v>
      </c>
      <c r="Z888" s="6" t="s">
        <v>37</v>
      </c>
      <c r="AA888" s="6" t="s">
        <v>74</v>
      </c>
      <c r="AB888" s="6" t="s">
        <v>37</v>
      </c>
      <c r="AC888" s="6" t="s">
        <v>43</v>
      </c>
      <c r="AD888" s="26" t="s">
        <v>77</v>
      </c>
      <c r="AE888" s="7">
        <v>487.9</v>
      </c>
      <c r="AF888" s="6">
        <v>522.4</v>
      </c>
      <c r="AG888" s="6">
        <v>12.8</v>
      </c>
      <c r="AH888" s="11" t="s">
        <v>206</v>
      </c>
    </row>
    <row r="889" ht="13.9" spans="1:34">
      <c r="A889" s="6" t="s">
        <v>202</v>
      </c>
      <c r="B889" s="7">
        <v>0.18</v>
      </c>
      <c r="C889" s="6">
        <v>0.11</v>
      </c>
      <c r="D889" s="6">
        <v>0.33</v>
      </c>
      <c r="E889" s="6">
        <v>0.32</v>
      </c>
      <c r="F889" s="6">
        <v>1.98</v>
      </c>
      <c r="G889" s="6">
        <v>0</v>
      </c>
      <c r="H889" s="6">
        <v>5.7</v>
      </c>
      <c r="I889" s="6">
        <v>0</v>
      </c>
      <c r="J889" s="6">
        <v>0</v>
      </c>
      <c r="K889" s="6">
        <v>0.1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0.25</v>
      </c>
      <c r="T889" s="8">
        <v>91.03</v>
      </c>
      <c r="U889" s="7">
        <v>470</v>
      </c>
      <c r="V889" s="6">
        <v>120</v>
      </c>
      <c r="W889" s="6">
        <v>8</v>
      </c>
      <c r="X889" s="6" t="s">
        <v>42</v>
      </c>
      <c r="Y889" s="6" t="s">
        <v>73</v>
      </c>
      <c r="Z889" s="6" t="s">
        <v>37</v>
      </c>
      <c r="AA889" s="6" t="s">
        <v>74</v>
      </c>
      <c r="AB889" s="6" t="s">
        <v>37</v>
      </c>
      <c r="AC889" s="6" t="s">
        <v>43</v>
      </c>
      <c r="AD889" s="26" t="s">
        <v>77</v>
      </c>
      <c r="AE889" s="7">
        <v>466.2</v>
      </c>
      <c r="AF889" s="6">
        <v>515.8</v>
      </c>
      <c r="AG889" s="6">
        <v>14.4</v>
      </c>
      <c r="AH889" s="11" t="s">
        <v>206</v>
      </c>
    </row>
    <row r="890" ht="13.9" spans="1:34">
      <c r="A890" s="6" t="s">
        <v>202</v>
      </c>
      <c r="B890" s="7">
        <v>0.18</v>
      </c>
      <c r="C890" s="6">
        <v>0.11</v>
      </c>
      <c r="D890" s="6">
        <v>0.33</v>
      </c>
      <c r="E890" s="6">
        <v>0.32</v>
      </c>
      <c r="F890" s="6">
        <v>1.98</v>
      </c>
      <c r="G890" s="6">
        <v>0</v>
      </c>
      <c r="H890" s="6">
        <v>5.7</v>
      </c>
      <c r="I890" s="6">
        <v>0</v>
      </c>
      <c r="J890" s="6">
        <v>0</v>
      </c>
      <c r="K890" s="6">
        <v>0.1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0.25</v>
      </c>
      <c r="T890" s="8">
        <v>91.03</v>
      </c>
      <c r="U890" s="7">
        <v>470</v>
      </c>
      <c r="V890" s="6">
        <v>120</v>
      </c>
      <c r="W890" s="6">
        <v>4</v>
      </c>
      <c r="X890" s="6" t="s">
        <v>42</v>
      </c>
      <c r="Y890" s="6" t="s">
        <v>73</v>
      </c>
      <c r="Z890" s="6" t="s">
        <v>37</v>
      </c>
      <c r="AA890" s="6" t="s">
        <v>74</v>
      </c>
      <c r="AB890" s="6" t="s">
        <v>37</v>
      </c>
      <c r="AC890" s="6" t="s">
        <v>43</v>
      </c>
      <c r="AD890" s="26" t="s">
        <v>77</v>
      </c>
      <c r="AE890" s="7">
        <v>427.1</v>
      </c>
      <c r="AF890" s="6">
        <v>495</v>
      </c>
      <c r="AG890" s="6">
        <v>15.3</v>
      </c>
      <c r="AH890" s="11" t="s">
        <v>206</v>
      </c>
    </row>
    <row r="891" ht="13.9" spans="1:34">
      <c r="A891" s="6" t="s">
        <v>202</v>
      </c>
      <c r="B891" s="7">
        <v>0.18</v>
      </c>
      <c r="C891" s="6">
        <v>0.11</v>
      </c>
      <c r="D891" s="6">
        <v>0.33</v>
      </c>
      <c r="E891" s="6">
        <v>0.32</v>
      </c>
      <c r="F891" s="6">
        <v>1.98</v>
      </c>
      <c r="G891" s="6">
        <v>0</v>
      </c>
      <c r="H891" s="6">
        <v>5.7</v>
      </c>
      <c r="I891" s="6">
        <v>0</v>
      </c>
      <c r="J891" s="6">
        <v>0</v>
      </c>
      <c r="K891" s="6">
        <v>0.1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0.25</v>
      </c>
      <c r="T891" s="8">
        <v>91.03</v>
      </c>
      <c r="U891" s="7">
        <v>470</v>
      </c>
      <c r="V891" s="6">
        <v>120</v>
      </c>
      <c r="W891" s="6">
        <v>1</v>
      </c>
      <c r="X891" s="6" t="s">
        <v>42</v>
      </c>
      <c r="Y891" s="6" t="s">
        <v>73</v>
      </c>
      <c r="Z891" s="6" t="s">
        <v>37</v>
      </c>
      <c r="AA891" s="6" t="s">
        <v>74</v>
      </c>
      <c r="AB891" s="6" t="s">
        <v>37</v>
      </c>
      <c r="AC891" s="6" t="s">
        <v>43</v>
      </c>
      <c r="AD891" s="26" t="s">
        <v>77</v>
      </c>
      <c r="AE891" s="7">
        <v>319.8</v>
      </c>
      <c r="AF891" s="6">
        <v>428.2</v>
      </c>
      <c r="AG891" s="6">
        <v>23</v>
      </c>
      <c r="AH891" s="11" t="s">
        <v>206</v>
      </c>
    </row>
    <row r="892" ht="13.9" spans="1:34">
      <c r="A892" s="6" t="s">
        <v>202</v>
      </c>
      <c r="B892" s="7">
        <v>0.08</v>
      </c>
      <c r="C892" s="6">
        <v>0.16</v>
      </c>
      <c r="D892" s="6">
        <v>0.34</v>
      </c>
      <c r="E892" s="6">
        <v>0.33</v>
      </c>
      <c r="F892" s="6">
        <v>1.91</v>
      </c>
      <c r="G892" s="6">
        <v>0</v>
      </c>
      <c r="H892" s="6">
        <v>5.39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8">
        <v>91.79</v>
      </c>
      <c r="U892" s="7">
        <v>470</v>
      </c>
      <c r="V892" s="6">
        <v>25</v>
      </c>
      <c r="W892" s="6">
        <v>0</v>
      </c>
      <c r="X892" s="6" t="s">
        <v>42</v>
      </c>
      <c r="Y892" s="6" t="s">
        <v>73</v>
      </c>
      <c r="Z892" s="6" t="s">
        <v>37</v>
      </c>
      <c r="AA892" s="6" t="s">
        <v>80</v>
      </c>
      <c r="AB892" s="6" t="s">
        <v>37</v>
      </c>
      <c r="AC892" s="6" t="s">
        <v>43</v>
      </c>
      <c r="AD892" s="26" t="s">
        <v>86</v>
      </c>
      <c r="AE892" s="7">
        <v>183</v>
      </c>
      <c r="AF892" s="6">
        <v>328</v>
      </c>
      <c r="AG892" s="10">
        <v>25.2</v>
      </c>
      <c r="AH892" s="48" t="s">
        <v>207</v>
      </c>
    </row>
    <row r="893" ht="13.9" spans="1:34">
      <c r="A893" s="6" t="s">
        <v>202</v>
      </c>
      <c r="B893" s="7">
        <v>0.11</v>
      </c>
      <c r="C893" s="6">
        <v>0.18</v>
      </c>
      <c r="D893" s="6">
        <v>0.33</v>
      </c>
      <c r="E893" s="6">
        <v>0.32</v>
      </c>
      <c r="F893" s="6">
        <v>1.98</v>
      </c>
      <c r="G893" s="6">
        <v>0</v>
      </c>
      <c r="H893" s="6">
        <v>5.41</v>
      </c>
      <c r="I893" s="6">
        <v>0</v>
      </c>
      <c r="J893" s="6">
        <v>0</v>
      </c>
      <c r="K893" s="6">
        <v>0.1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0.25</v>
      </c>
      <c r="T893" s="8">
        <v>91.32</v>
      </c>
      <c r="U893" s="7">
        <v>470</v>
      </c>
      <c r="V893" s="6">
        <v>120</v>
      </c>
      <c r="W893" s="6">
        <v>24</v>
      </c>
      <c r="X893" s="6" t="s">
        <v>42</v>
      </c>
      <c r="Y893" s="6" t="s">
        <v>73</v>
      </c>
      <c r="Z893" s="6" t="s">
        <v>37</v>
      </c>
      <c r="AA893" s="6" t="s">
        <v>74</v>
      </c>
      <c r="AB893" s="6" t="s">
        <v>37</v>
      </c>
      <c r="AC893" s="6" t="s">
        <v>43</v>
      </c>
      <c r="AD893" s="26" t="s">
        <v>77</v>
      </c>
      <c r="AE893" s="7">
        <v>513</v>
      </c>
      <c r="AF893" s="6">
        <v>540</v>
      </c>
      <c r="AG893" s="6">
        <v>19.4</v>
      </c>
      <c r="AH893" s="11" t="s">
        <v>208</v>
      </c>
    </row>
    <row r="894" ht="13.9" spans="1:34">
      <c r="A894" s="6" t="s">
        <v>202</v>
      </c>
      <c r="B894" s="7">
        <v>0.11</v>
      </c>
      <c r="C894" s="6">
        <v>0.18</v>
      </c>
      <c r="D894" s="6">
        <v>0.33</v>
      </c>
      <c r="E894" s="6">
        <v>0.32</v>
      </c>
      <c r="F894" s="6">
        <v>1.98</v>
      </c>
      <c r="G894" s="6">
        <v>0</v>
      </c>
      <c r="H894" s="6">
        <v>5.41</v>
      </c>
      <c r="I894" s="6">
        <v>0</v>
      </c>
      <c r="J894" s="6">
        <v>0</v>
      </c>
      <c r="K894" s="6">
        <v>0.1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0.25</v>
      </c>
      <c r="T894" s="8">
        <v>91.32</v>
      </c>
      <c r="U894" s="7">
        <v>470</v>
      </c>
      <c r="V894" s="6">
        <v>120</v>
      </c>
      <c r="W894" s="6">
        <v>12</v>
      </c>
      <c r="X894" s="6" t="s">
        <v>42</v>
      </c>
      <c r="Y894" s="6" t="s">
        <v>73</v>
      </c>
      <c r="Z894" s="6" t="s">
        <v>37</v>
      </c>
      <c r="AA894" s="6" t="s">
        <v>74</v>
      </c>
      <c r="AB894" s="6" t="s">
        <v>37</v>
      </c>
      <c r="AC894" s="6" t="s">
        <v>43</v>
      </c>
      <c r="AD894" s="26" t="s">
        <v>77</v>
      </c>
      <c r="AE894" s="7">
        <v>493</v>
      </c>
      <c r="AF894" s="6">
        <v>532</v>
      </c>
      <c r="AG894" s="6">
        <v>19.4</v>
      </c>
      <c r="AH894" s="11" t="s">
        <v>208</v>
      </c>
    </row>
    <row r="895" ht="13.9" spans="1:34">
      <c r="A895" s="6" t="s">
        <v>202</v>
      </c>
      <c r="B895" s="7">
        <v>0.11</v>
      </c>
      <c r="C895" s="6">
        <v>0.18</v>
      </c>
      <c r="D895" s="6">
        <v>0.33</v>
      </c>
      <c r="E895" s="6">
        <v>0.32</v>
      </c>
      <c r="F895" s="6">
        <v>1.98</v>
      </c>
      <c r="G895" s="6">
        <v>0</v>
      </c>
      <c r="H895" s="6">
        <v>5.41</v>
      </c>
      <c r="I895" s="6">
        <v>0</v>
      </c>
      <c r="J895" s="6">
        <v>0</v>
      </c>
      <c r="K895" s="6">
        <v>0.1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0.25</v>
      </c>
      <c r="T895" s="8">
        <v>91.32</v>
      </c>
      <c r="U895" s="7">
        <v>470</v>
      </c>
      <c r="V895" s="6">
        <v>120</v>
      </c>
      <c r="W895" s="6">
        <v>36</v>
      </c>
      <c r="X895" s="6" t="s">
        <v>42</v>
      </c>
      <c r="Y895" s="6" t="s">
        <v>73</v>
      </c>
      <c r="Z895" s="6" t="s">
        <v>37</v>
      </c>
      <c r="AA895" s="6" t="s">
        <v>74</v>
      </c>
      <c r="AB895" s="6" t="s">
        <v>37</v>
      </c>
      <c r="AC895" s="6" t="s">
        <v>43</v>
      </c>
      <c r="AD895" s="26" t="s">
        <v>77</v>
      </c>
      <c r="AE895" s="7">
        <v>509</v>
      </c>
      <c r="AF895" s="6">
        <v>532</v>
      </c>
      <c r="AG895" s="6">
        <v>19.6</v>
      </c>
      <c r="AH895" s="11" t="s">
        <v>208</v>
      </c>
    </row>
    <row r="896" ht="13.9" spans="1:34">
      <c r="A896" s="6" t="s">
        <v>202</v>
      </c>
      <c r="B896" s="7">
        <v>0.08</v>
      </c>
      <c r="C896" s="6">
        <v>0.16</v>
      </c>
      <c r="D896" s="6">
        <v>0.34</v>
      </c>
      <c r="E896" s="6">
        <v>0.33</v>
      </c>
      <c r="F896" s="6">
        <v>1.91</v>
      </c>
      <c r="G896" s="6">
        <v>0</v>
      </c>
      <c r="H896" s="6">
        <v>5.39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8">
        <v>91.79</v>
      </c>
      <c r="U896" s="7">
        <v>470</v>
      </c>
      <c r="V896" s="6">
        <v>120</v>
      </c>
      <c r="W896" s="6">
        <v>36</v>
      </c>
      <c r="X896" s="6" t="s">
        <v>42</v>
      </c>
      <c r="Y896" s="6" t="s">
        <v>73</v>
      </c>
      <c r="Z896" s="6" t="s">
        <v>37</v>
      </c>
      <c r="AA896" s="6" t="s">
        <v>74</v>
      </c>
      <c r="AB896" s="6" t="s">
        <v>37</v>
      </c>
      <c r="AC896" s="6" t="s">
        <v>43</v>
      </c>
      <c r="AD896" s="26" t="s">
        <v>77</v>
      </c>
      <c r="AE896" s="7">
        <v>450</v>
      </c>
      <c r="AF896" s="6">
        <v>485</v>
      </c>
      <c r="AG896" s="6">
        <v>15.4</v>
      </c>
      <c r="AH896" s="11" t="s">
        <v>208</v>
      </c>
    </row>
    <row r="897" ht="13.9" spans="1:34">
      <c r="A897" s="6" t="s">
        <v>202</v>
      </c>
      <c r="B897" s="7">
        <v>0.08</v>
      </c>
      <c r="C897" s="6">
        <v>0.16</v>
      </c>
      <c r="D897" s="6">
        <v>0.34</v>
      </c>
      <c r="E897" s="6">
        <v>0.33</v>
      </c>
      <c r="F897" s="6">
        <v>1.91</v>
      </c>
      <c r="G897" s="6">
        <v>0</v>
      </c>
      <c r="H897" s="6">
        <v>5.39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8">
        <v>91.79</v>
      </c>
      <c r="U897" s="7">
        <v>470</v>
      </c>
      <c r="V897" s="6">
        <v>120</v>
      </c>
      <c r="W897" s="6">
        <v>12</v>
      </c>
      <c r="X897" s="6" t="s">
        <v>42</v>
      </c>
      <c r="Y897" s="6" t="s">
        <v>73</v>
      </c>
      <c r="Z897" s="6" t="s">
        <v>37</v>
      </c>
      <c r="AA897" s="6" t="s">
        <v>74</v>
      </c>
      <c r="AB897" s="6" t="s">
        <v>37</v>
      </c>
      <c r="AC897" s="6" t="s">
        <v>43</v>
      </c>
      <c r="AD897" s="26" t="s">
        <v>77</v>
      </c>
      <c r="AE897" s="7">
        <v>416</v>
      </c>
      <c r="AF897" s="6">
        <v>463</v>
      </c>
      <c r="AG897" s="6">
        <v>14.5</v>
      </c>
      <c r="AH897" s="11" t="s">
        <v>208</v>
      </c>
    </row>
    <row r="898" ht="13.9" spans="1:34">
      <c r="A898" s="6" t="s">
        <v>202</v>
      </c>
      <c r="B898" s="7">
        <v>0</v>
      </c>
      <c r="C898" s="6">
        <v>0</v>
      </c>
      <c r="D898" s="6">
        <v>0.75</v>
      </c>
      <c r="E898" s="6">
        <v>0</v>
      </c>
      <c r="F898" s="6">
        <v>1.76</v>
      </c>
      <c r="G898" s="6">
        <v>0</v>
      </c>
      <c r="H898" s="6">
        <v>2.22</v>
      </c>
      <c r="I898" s="6">
        <v>0</v>
      </c>
      <c r="J898" s="6">
        <v>0</v>
      </c>
      <c r="K898" s="6">
        <v>0.12</v>
      </c>
      <c r="L898" s="6">
        <v>2.59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8">
        <f t="shared" ref="T898:T929" si="31">100-SUM(B898:S898)</f>
        <v>92.56</v>
      </c>
      <c r="U898" s="7">
        <v>530</v>
      </c>
      <c r="V898" s="6">
        <v>170</v>
      </c>
      <c r="W898" s="6">
        <v>48</v>
      </c>
      <c r="X898" s="6" t="s">
        <v>42</v>
      </c>
      <c r="Y898" s="6" t="s">
        <v>73</v>
      </c>
      <c r="Z898" s="6" t="s">
        <v>37</v>
      </c>
      <c r="AA898" s="6" t="s">
        <v>74</v>
      </c>
      <c r="AB898" s="6" t="s">
        <v>37</v>
      </c>
      <c r="AC898" s="6" t="s">
        <v>43</v>
      </c>
      <c r="AD898" s="26" t="s">
        <v>77</v>
      </c>
      <c r="AE898" s="7">
        <v>420</v>
      </c>
      <c r="AF898" s="6">
        <v>542</v>
      </c>
      <c r="AG898" s="10">
        <v>4.3</v>
      </c>
      <c r="AH898" s="48" t="s">
        <v>209</v>
      </c>
    </row>
    <row r="899" ht="13.9" spans="1:34">
      <c r="A899" s="6" t="s">
        <v>202</v>
      </c>
      <c r="B899" s="7">
        <v>0</v>
      </c>
      <c r="C899" s="6">
        <v>0</v>
      </c>
      <c r="D899" s="6">
        <v>0.75</v>
      </c>
      <c r="E899" s="6">
        <v>0</v>
      </c>
      <c r="F899" s="6">
        <v>1.76</v>
      </c>
      <c r="G899" s="6">
        <v>0</v>
      </c>
      <c r="H899" s="6">
        <v>2.22</v>
      </c>
      <c r="I899" s="6">
        <v>0</v>
      </c>
      <c r="J899" s="6">
        <v>0</v>
      </c>
      <c r="K899" s="6">
        <v>0.12</v>
      </c>
      <c r="L899" s="6">
        <v>2.59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8">
        <f t="shared" si="31"/>
        <v>92.56</v>
      </c>
      <c r="U899" s="7">
        <v>530</v>
      </c>
      <c r="V899" s="6">
        <v>170</v>
      </c>
      <c r="W899" s="6">
        <v>72</v>
      </c>
      <c r="X899" s="6" t="s">
        <v>42</v>
      </c>
      <c r="Y899" s="6" t="s">
        <v>73</v>
      </c>
      <c r="Z899" s="6" t="s">
        <v>37</v>
      </c>
      <c r="AA899" s="6" t="s">
        <v>74</v>
      </c>
      <c r="AB899" s="6" t="s">
        <v>37</v>
      </c>
      <c r="AC899" s="6" t="s">
        <v>43</v>
      </c>
      <c r="AD899" s="26" t="s">
        <v>77</v>
      </c>
      <c r="AE899" s="7">
        <v>416</v>
      </c>
      <c r="AF899" s="6">
        <v>529</v>
      </c>
      <c r="AG899" s="10">
        <v>4.7</v>
      </c>
      <c r="AH899" s="48" t="s">
        <v>209</v>
      </c>
    </row>
    <row r="900" ht="13.9" spans="1:34">
      <c r="A900" s="6" t="s">
        <v>202</v>
      </c>
      <c r="B900" s="7">
        <v>0</v>
      </c>
      <c r="C900" s="6">
        <v>0</v>
      </c>
      <c r="D900" s="6">
        <v>0.75</v>
      </c>
      <c r="E900" s="6">
        <v>0</v>
      </c>
      <c r="F900" s="6">
        <v>1.76</v>
      </c>
      <c r="G900" s="6">
        <v>0</v>
      </c>
      <c r="H900" s="6">
        <v>2.22</v>
      </c>
      <c r="I900" s="6">
        <v>0</v>
      </c>
      <c r="J900" s="6">
        <v>0</v>
      </c>
      <c r="K900" s="6">
        <v>0.12</v>
      </c>
      <c r="L900" s="6">
        <v>2.59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8">
        <f t="shared" si="31"/>
        <v>92.56</v>
      </c>
      <c r="U900" s="7">
        <v>530</v>
      </c>
      <c r="V900" s="6">
        <v>170</v>
      </c>
      <c r="W900" s="6">
        <v>32</v>
      </c>
      <c r="X900" s="6" t="s">
        <v>42</v>
      </c>
      <c r="Y900" s="6" t="s">
        <v>73</v>
      </c>
      <c r="Z900" s="6" t="s">
        <v>37</v>
      </c>
      <c r="AA900" s="6" t="s">
        <v>74</v>
      </c>
      <c r="AB900" s="6" t="s">
        <v>37</v>
      </c>
      <c r="AC900" s="6" t="s">
        <v>43</v>
      </c>
      <c r="AD900" s="26" t="s">
        <v>77</v>
      </c>
      <c r="AE900" s="7">
        <v>410</v>
      </c>
      <c r="AF900" s="6">
        <v>527</v>
      </c>
      <c r="AG900" s="10">
        <v>3.9</v>
      </c>
      <c r="AH900" s="48" t="s">
        <v>209</v>
      </c>
    </row>
    <row r="901" ht="13.9" spans="1:34">
      <c r="A901" s="6" t="s">
        <v>202</v>
      </c>
      <c r="B901" s="7">
        <v>0</v>
      </c>
      <c r="C901" s="6">
        <v>0</v>
      </c>
      <c r="D901" s="6">
        <v>0.75</v>
      </c>
      <c r="E901" s="6">
        <v>0</v>
      </c>
      <c r="F901" s="6">
        <v>1.76</v>
      </c>
      <c r="G901" s="6">
        <v>0</v>
      </c>
      <c r="H901" s="6">
        <v>2.22</v>
      </c>
      <c r="I901" s="6">
        <v>0</v>
      </c>
      <c r="J901" s="6">
        <v>0</v>
      </c>
      <c r="K901" s="6">
        <v>0.12</v>
      </c>
      <c r="L901" s="6">
        <v>2.59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8">
        <f t="shared" si="31"/>
        <v>92.56</v>
      </c>
      <c r="U901" s="7">
        <v>530</v>
      </c>
      <c r="V901" s="6">
        <v>185</v>
      </c>
      <c r="W901" s="6">
        <v>16</v>
      </c>
      <c r="X901" s="6" t="s">
        <v>42</v>
      </c>
      <c r="Y901" s="6" t="s">
        <v>73</v>
      </c>
      <c r="Z901" s="6" t="s">
        <v>37</v>
      </c>
      <c r="AA901" s="6" t="s">
        <v>74</v>
      </c>
      <c r="AB901" s="6" t="s">
        <v>37</v>
      </c>
      <c r="AC901" s="6" t="s">
        <v>43</v>
      </c>
      <c r="AD901" s="26" t="s">
        <v>77</v>
      </c>
      <c r="AE901" s="7">
        <v>413</v>
      </c>
      <c r="AF901" s="6">
        <v>526</v>
      </c>
      <c r="AG901" s="10">
        <v>4.1</v>
      </c>
      <c r="AH901" s="48" t="s">
        <v>209</v>
      </c>
    </row>
    <row r="902" ht="13.9" spans="1:34">
      <c r="A902" s="6" t="s">
        <v>202</v>
      </c>
      <c r="B902" s="7">
        <v>0</v>
      </c>
      <c r="C902" s="6">
        <v>0</v>
      </c>
      <c r="D902" s="6">
        <v>0.75</v>
      </c>
      <c r="E902" s="6">
        <v>0</v>
      </c>
      <c r="F902" s="6">
        <v>1.76</v>
      </c>
      <c r="G902" s="6">
        <v>0</v>
      </c>
      <c r="H902" s="6">
        <v>2.22</v>
      </c>
      <c r="I902" s="6">
        <v>0</v>
      </c>
      <c r="J902" s="6">
        <v>0</v>
      </c>
      <c r="K902" s="6">
        <v>0.12</v>
      </c>
      <c r="L902" s="6">
        <v>2.59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8">
        <f t="shared" si="31"/>
        <v>92.56</v>
      </c>
      <c r="U902" s="7">
        <v>530</v>
      </c>
      <c r="V902" s="6">
        <v>185</v>
      </c>
      <c r="W902" s="6">
        <v>48</v>
      </c>
      <c r="X902" s="6" t="s">
        <v>42</v>
      </c>
      <c r="Y902" s="6" t="s">
        <v>73</v>
      </c>
      <c r="Z902" s="6" t="s">
        <v>37</v>
      </c>
      <c r="AA902" s="6" t="s">
        <v>74</v>
      </c>
      <c r="AB902" s="6" t="s">
        <v>37</v>
      </c>
      <c r="AC902" s="6" t="s">
        <v>43</v>
      </c>
      <c r="AD902" s="26" t="s">
        <v>77</v>
      </c>
      <c r="AE902" s="7">
        <v>400</v>
      </c>
      <c r="AF902" s="6">
        <v>517</v>
      </c>
      <c r="AG902" s="10">
        <v>5</v>
      </c>
      <c r="AH902" s="48" t="s">
        <v>209</v>
      </c>
    </row>
    <row r="903" ht="13.9" spans="1:34">
      <c r="A903" s="6" t="s">
        <v>202</v>
      </c>
      <c r="B903" s="7">
        <v>0</v>
      </c>
      <c r="C903" s="6">
        <v>0</v>
      </c>
      <c r="D903" s="6">
        <v>0.75</v>
      </c>
      <c r="E903" s="6">
        <v>0</v>
      </c>
      <c r="F903" s="6">
        <v>1.76</v>
      </c>
      <c r="G903" s="6">
        <v>0</v>
      </c>
      <c r="H903" s="6">
        <v>2.22</v>
      </c>
      <c r="I903" s="6">
        <v>0</v>
      </c>
      <c r="J903" s="6">
        <v>0</v>
      </c>
      <c r="K903" s="6">
        <v>0.12</v>
      </c>
      <c r="L903" s="6">
        <v>2.59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8">
        <f t="shared" si="31"/>
        <v>92.56</v>
      </c>
      <c r="U903" s="7">
        <v>530</v>
      </c>
      <c r="V903" s="6">
        <v>170</v>
      </c>
      <c r="W903" s="6">
        <v>24</v>
      </c>
      <c r="X903" s="6" t="s">
        <v>42</v>
      </c>
      <c r="Y903" s="6" t="s">
        <v>73</v>
      </c>
      <c r="Z903" s="6" t="s">
        <v>37</v>
      </c>
      <c r="AA903" s="6" t="s">
        <v>74</v>
      </c>
      <c r="AB903" s="6" t="s">
        <v>37</v>
      </c>
      <c r="AC903" s="6" t="s">
        <v>43</v>
      </c>
      <c r="AD903" s="26" t="s">
        <v>77</v>
      </c>
      <c r="AE903" s="7">
        <v>407</v>
      </c>
      <c r="AF903" s="6">
        <v>514</v>
      </c>
      <c r="AG903" s="10">
        <v>3.7</v>
      </c>
      <c r="AH903" s="48" t="s">
        <v>209</v>
      </c>
    </row>
    <row r="904" ht="13.9" spans="1:34">
      <c r="A904" s="6" t="s">
        <v>202</v>
      </c>
      <c r="B904" s="7">
        <v>0</v>
      </c>
      <c r="C904" s="6">
        <v>0</v>
      </c>
      <c r="D904" s="6">
        <v>0.75</v>
      </c>
      <c r="E904" s="6">
        <v>0</v>
      </c>
      <c r="F904" s="6">
        <v>1.76</v>
      </c>
      <c r="G904" s="6">
        <v>0</v>
      </c>
      <c r="H904" s="6">
        <v>2.22</v>
      </c>
      <c r="I904" s="6">
        <v>0</v>
      </c>
      <c r="J904" s="6">
        <v>0</v>
      </c>
      <c r="K904" s="6">
        <v>0.12</v>
      </c>
      <c r="L904" s="6">
        <v>2.59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8">
        <f t="shared" si="31"/>
        <v>92.56</v>
      </c>
      <c r="U904" s="7">
        <v>530</v>
      </c>
      <c r="V904" s="6">
        <v>185</v>
      </c>
      <c r="W904" s="6">
        <v>2</v>
      </c>
      <c r="X904" s="6" t="s">
        <v>42</v>
      </c>
      <c r="Y904" s="6" t="s">
        <v>73</v>
      </c>
      <c r="Z904" s="6" t="s">
        <v>37</v>
      </c>
      <c r="AA904" s="6" t="s">
        <v>74</v>
      </c>
      <c r="AB904" s="6" t="s">
        <v>37</v>
      </c>
      <c r="AC904" s="6" t="s">
        <v>43</v>
      </c>
      <c r="AD904" s="26" t="s">
        <v>77</v>
      </c>
      <c r="AE904" s="7">
        <v>380</v>
      </c>
      <c r="AF904" s="6">
        <v>503</v>
      </c>
      <c r="AG904" s="10">
        <v>5.5</v>
      </c>
      <c r="AH904" s="48" t="s">
        <v>209</v>
      </c>
    </row>
    <row r="905" ht="13.9" spans="1:34">
      <c r="A905" s="6" t="s">
        <v>202</v>
      </c>
      <c r="B905" s="7">
        <v>0</v>
      </c>
      <c r="C905" s="6">
        <v>0</v>
      </c>
      <c r="D905" s="6">
        <v>0.75</v>
      </c>
      <c r="E905" s="6">
        <v>0</v>
      </c>
      <c r="F905" s="6">
        <v>1.76</v>
      </c>
      <c r="G905" s="6">
        <v>0</v>
      </c>
      <c r="H905" s="6">
        <v>2.22</v>
      </c>
      <c r="I905" s="6">
        <v>0</v>
      </c>
      <c r="J905" s="6">
        <v>0</v>
      </c>
      <c r="K905" s="6">
        <v>0.12</v>
      </c>
      <c r="L905" s="6">
        <v>2.59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8">
        <f t="shared" si="31"/>
        <v>92.56</v>
      </c>
      <c r="U905" s="7">
        <v>530</v>
      </c>
      <c r="V905" s="6">
        <v>170</v>
      </c>
      <c r="W905" s="6">
        <v>8</v>
      </c>
      <c r="X905" s="6" t="s">
        <v>42</v>
      </c>
      <c r="Y905" s="6" t="s">
        <v>73</v>
      </c>
      <c r="Z905" s="6" t="s">
        <v>37</v>
      </c>
      <c r="AA905" s="6" t="s">
        <v>74</v>
      </c>
      <c r="AB905" s="6" t="s">
        <v>37</v>
      </c>
      <c r="AC905" s="6" t="s">
        <v>43</v>
      </c>
      <c r="AD905" s="26" t="s">
        <v>77</v>
      </c>
      <c r="AE905" s="7">
        <v>373</v>
      </c>
      <c r="AF905" s="6">
        <v>502</v>
      </c>
      <c r="AG905" s="10">
        <v>3.8</v>
      </c>
      <c r="AH905" s="48" t="s">
        <v>209</v>
      </c>
    </row>
    <row r="906" ht="13.9" spans="1:34">
      <c r="A906" s="6" t="s">
        <v>202</v>
      </c>
      <c r="B906" s="7">
        <v>0</v>
      </c>
      <c r="C906" s="6">
        <v>0</v>
      </c>
      <c r="D906" s="6">
        <v>1.07</v>
      </c>
      <c r="E906" s="6">
        <v>0</v>
      </c>
      <c r="F906" s="6">
        <v>1.07</v>
      </c>
      <c r="G906" s="6">
        <v>0</v>
      </c>
      <c r="H906" s="6">
        <v>3.4</v>
      </c>
      <c r="I906" s="6">
        <v>0</v>
      </c>
      <c r="J906" s="6">
        <v>0</v>
      </c>
      <c r="K906" s="6">
        <v>0.1</v>
      </c>
      <c r="L906" s="6">
        <v>1.8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8">
        <f t="shared" si="31"/>
        <v>92.56</v>
      </c>
      <c r="U906" s="7">
        <v>530</v>
      </c>
      <c r="V906" s="6">
        <v>185</v>
      </c>
      <c r="W906" s="6">
        <v>16</v>
      </c>
      <c r="X906" s="6" t="s">
        <v>42</v>
      </c>
      <c r="Y906" s="6" t="s">
        <v>73</v>
      </c>
      <c r="Z906" s="6" t="s">
        <v>37</v>
      </c>
      <c r="AA906" s="6" t="s">
        <v>74</v>
      </c>
      <c r="AB906" s="6" t="s">
        <v>37</v>
      </c>
      <c r="AC906" s="6" t="s">
        <v>43</v>
      </c>
      <c r="AD906" s="26" t="s">
        <v>77</v>
      </c>
      <c r="AE906" s="7">
        <v>380</v>
      </c>
      <c r="AF906" s="6">
        <v>489</v>
      </c>
      <c r="AG906" s="10">
        <v>4.7</v>
      </c>
      <c r="AH906" s="48" t="s">
        <v>209</v>
      </c>
    </row>
    <row r="907" ht="13.9" spans="1:34">
      <c r="A907" s="6" t="s">
        <v>202</v>
      </c>
      <c r="B907" s="7">
        <v>0</v>
      </c>
      <c r="C907" s="6">
        <v>0</v>
      </c>
      <c r="D907" s="6">
        <v>1.07</v>
      </c>
      <c r="E907" s="6">
        <v>0</v>
      </c>
      <c r="F907" s="6">
        <v>1.07</v>
      </c>
      <c r="G907" s="6">
        <v>0</v>
      </c>
      <c r="H907" s="6">
        <v>3.4</v>
      </c>
      <c r="I907" s="6">
        <v>0</v>
      </c>
      <c r="J907" s="6">
        <v>0</v>
      </c>
      <c r="K907" s="6">
        <v>0.1</v>
      </c>
      <c r="L907" s="6">
        <v>1.8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8">
        <f t="shared" si="31"/>
        <v>92.56</v>
      </c>
      <c r="U907" s="7">
        <v>530</v>
      </c>
      <c r="V907" s="6">
        <v>170</v>
      </c>
      <c r="W907" s="6">
        <v>24</v>
      </c>
      <c r="X907" s="6" t="s">
        <v>42</v>
      </c>
      <c r="Y907" s="6" t="s">
        <v>73</v>
      </c>
      <c r="Z907" s="6" t="s">
        <v>37</v>
      </c>
      <c r="AA907" s="6" t="s">
        <v>74</v>
      </c>
      <c r="AB907" s="6" t="s">
        <v>37</v>
      </c>
      <c r="AC907" s="6" t="s">
        <v>43</v>
      </c>
      <c r="AD907" s="26" t="s">
        <v>77</v>
      </c>
      <c r="AE907" s="7">
        <v>378</v>
      </c>
      <c r="AF907" s="6">
        <v>484</v>
      </c>
      <c r="AG907" s="10">
        <v>6.5</v>
      </c>
      <c r="AH907" s="48" t="s">
        <v>209</v>
      </c>
    </row>
    <row r="908" ht="13.9" spans="1:34">
      <c r="A908" s="6" t="s">
        <v>202</v>
      </c>
      <c r="B908" s="7">
        <v>0</v>
      </c>
      <c r="C908" s="6">
        <v>0</v>
      </c>
      <c r="D908" s="6">
        <v>1.24</v>
      </c>
      <c r="E908" s="6">
        <v>0</v>
      </c>
      <c r="F908" s="6">
        <v>0.7</v>
      </c>
      <c r="G908" s="6">
        <v>0</v>
      </c>
      <c r="H908" s="6">
        <v>0</v>
      </c>
      <c r="I908" s="6">
        <v>0</v>
      </c>
      <c r="J908" s="6">
        <v>0</v>
      </c>
      <c r="K908" s="6">
        <v>0.12</v>
      </c>
      <c r="L908" s="6">
        <v>2.49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8">
        <f t="shared" si="31"/>
        <v>95.45</v>
      </c>
      <c r="U908" s="7">
        <v>530</v>
      </c>
      <c r="V908" s="6">
        <v>170</v>
      </c>
      <c r="W908" s="6">
        <v>48</v>
      </c>
      <c r="X908" s="6" t="s">
        <v>42</v>
      </c>
      <c r="Y908" s="6" t="s">
        <v>73</v>
      </c>
      <c r="Z908" s="6" t="s">
        <v>37</v>
      </c>
      <c r="AA908" s="6" t="s">
        <v>74</v>
      </c>
      <c r="AB908" s="6" t="s">
        <v>37</v>
      </c>
      <c r="AC908" s="6" t="s">
        <v>43</v>
      </c>
      <c r="AD908" s="26" t="s">
        <v>77</v>
      </c>
      <c r="AE908" s="7">
        <v>387</v>
      </c>
      <c r="AF908" s="6">
        <v>478</v>
      </c>
      <c r="AG908" s="10" t="s">
        <v>40</v>
      </c>
      <c r="AH908" s="48" t="s">
        <v>209</v>
      </c>
    </row>
    <row r="909" ht="13.9" spans="1:34">
      <c r="A909" s="6" t="s">
        <v>202</v>
      </c>
      <c r="B909" s="7">
        <v>0</v>
      </c>
      <c r="C909" s="6">
        <v>0</v>
      </c>
      <c r="D909" s="6">
        <v>1.07</v>
      </c>
      <c r="E909" s="6">
        <v>0</v>
      </c>
      <c r="F909" s="6">
        <v>1.07</v>
      </c>
      <c r="G909" s="6">
        <v>0</v>
      </c>
      <c r="H909" s="6">
        <v>3.4</v>
      </c>
      <c r="I909" s="6">
        <v>0</v>
      </c>
      <c r="J909" s="6">
        <v>0</v>
      </c>
      <c r="K909" s="6">
        <v>0.1</v>
      </c>
      <c r="L909" s="6">
        <v>1.8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8">
        <f t="shared" si="31"/>
        <v>92.56</v>
      </c>
      <c r="U909" s="7">
        <v>530</v>
      </c>
      <c r="V909" s="6">
        <v>185</v>
      </c>
      <c r="W909" s="6">
        <v>48</v>
      </c>
      <c r="X909" s="6" t="s">
        <v>42</v>
      </c>
      <c r="Y909" s="6" t="s">
        <v>73</v>
      </c>
      <c r="Z909" s="6" t="s">
        <v>37</v>
      </c>
      <c r="AA909" s="6" t="s">
        <v>74</v>
      </c>
      <c r="AB909" s="6" t="s">
        <v>37</v>
      </c>
      <c r="AC909" s="6" t="s">
        <v>43</v>
      </c>
      <c r="AD909" s="26" t="s">
        <v>77</v>
      </c>
      <c r="AE909" s="7">
        <v>362</v>
      </c>
      <c r="AF909" s="6">
        <v>475</v>
      </c>
      <c r="AG909" s="10">
        <v>5.6</v>
      </c>
      <c r="AH909" s="48" t="s">
        <v>209</v>
      </c>
    </row>
    <row r="910" ht="13.9" spans="1:34">
      <c r="A910" s="6" t="s">
        <v>202</v>
      </c>
      <c r="B910" s="7">
        <v>0</v>
      </c>
      <c r="C910" s="6">
        <v>0</v>
      </c>
      <c r="D910" s="6">
        <v>0.75</v>
      </c>
      <c r="E910" s="6">
        <v>0</v>
      </c>
      <c r="F910" s="6">
        <v>1.76</v>
      </c>
      <c r="G910" s="6">
        <v>0</v>
      </c>
      <c r="H910" s="6">
        <v>2.22</v>
      </c>
      <c r="I910" s="6">
        <v>0</v>
      </c>
      <c r="J910" s="6">
        <v>0</v>
      </c>
      <c r="K910" s="6">
        <v>0.12</v>
      </c>
      <c r="L910" s="6">
        <v>2.59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8">
        <f t="shared" si="31"/>
        <v>92.56</v>
      </c>
      <c r="U910" s="7">
        <v>530</v>
      </c>
      <c r="V910" s="6">
        <v>170</v>
      </c>
      <c r="W910" s="6">
        <v>2</v>
      </c>
      <c r="X910" s="6" t="s">
        <v>42</v>
      </c>
      <c r="Y910" s="6" t="s">
        <v>73</v>
      </c>
      <c r="Z910" s="6" t="s">
        <v>37</v>
      </c>
      <c r="AA910" s="6" t="s">
        <v>74</v>
      </c>
      <c r="AB910" s="6" t="s">
        <v>37</v>
      </c>
      <c r="AC910" s="6" t="s">
        <v>43</v>
      </c>
      <c r="AD910" s="26" t="s">
        <v>77</v>
      </c>
      <c r="AE910" s="7">
        <v>342</v>
      </c>
      <c r="AF910" s="6">
        <v>474</v>
      </c>
      <c r="AG910" s="10">
        <v>3.1</v>
      </c>
      <c r="AH910" s="48" t="s">
        <v>209</v>
      </c>
    </row>
    <row r="911" ht="13.9" spans="1:34">
      <c r="A911" s="6" t="s">
        <v>202</v>
      </c>
      <c r="B911" s="7">
        <v>0</v>
      </c>
      <c r="C911" s="6">
        <v>0</v>
      </c>
      <c r="D911" s="6">
        <v>1.24</v>
      </c>
      <c r="E911" s="6">
        <v>0</v>
      </c>
      <c r="F911" s="6">
        <v>0.7</v>
      </c>
      <c r="G911" s="6">
        <v>0</v>
      </c>
      <c r="H911" s="6">
        <v>0</v>
      </c>
      <c r="I911" s="6">
        <v>0</v>
      </c>
      <c r="J911" s="6">
        <v>0</v>
      </c>
      <c r="K911" s="6">
        <v>0.12</v>
      </c>
      <c r="L911" s="6">
        <v>2.49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8">
        <f t="shared" si="31"/>
        <v>95.45</v>
      </c>
      <c r="U911" s="7">
        <v>530</v>
      </c>
      <c r="V911" s="6">
        <v>185</v>
      </c>
      <c r="W911" s="6">
        <v>24</v>
      </c>
      <c r="X911" s="6" t="s">
        <v>42</v>
      </c>
      <c r="Y911" s="6" t="s">
        <v>73</v>
      </c>
      <c r="Z911" s="6" t="s">
        <v>37</v>
      </c>
      <c r="AA911" s="6" t="s">
        <v>74</v>
      </c>
      <c r="AB911" s="6" t="s">
        <v>37</v>
      </c>
      <c r="AC911" s="6" t="s">
        <v>43</v>
      </c>
      <c r="AD911" s="26" t="s">
        <v>77</v>
      </c>
      <c r="AE911" s="7" t="s">
        <v>40</v>
      </c>
      <c r="AF911" s="6">
        <v>467</v>
      </c>
      <c r="AG911" s="10">
        <v>3.6</v>
      </c>
      <c r="AH911" s="48" t="s">
        <v>209</v>
      </c>
    </row>
    <row r="912" ht="13.9" spans="1:34">
      <c r="A912" s="6" t="s">
        <v>202</v>
      </c>
      <c r="B912" s="7">
        <v>0</v>
      </c>
      <c r="C912" s="6">
        <v>0</v>
      </c>
      <c r="D912" s="6">
        <v>1.24</v>
      </c>
      <c r="E912" s="6">
        <v>0</v>
      </c>
      <c r="F912" s="6">
        <v>0.7</v>
      </c>
      <c r="G912" s="6">
        <v>0</v>
      </c>
      <c r="H912" s="6">
        <v>0</v>
      </c>
      <c r="I912" s="6">
        <v>0</v>
      </c>
      <c r="J912" s="6">
        <v>0</v>
      </c>
      <c r="K912" s="6">
        <v>0.12</v>
      </c>
      <c r="L912" s="6">
        <v>2.49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8">
        <f t="shared" si="31"/>
        <v>95.45</v>
      </c>
      <c r="U912" s="7">
        <v>530</v>
      </c>
      <c r="V912" s="6">
        <v>185</v>
      </c>
      <c r="W912" s="6">
        <v>16</v>
      </c>
      <c r="X912" s="6" t="s">
        <v>42</v>
      </c>
      <c r="Y912" s="6" t="s">
        <v>73</v>
      </c>
      <c r="Z912" s="6" t="s">
        <v>37</v>
      </c>
      <c r="AA912" s="6" t="s">
        <v>74</v>
      </c>
      <c r="AB912" s="6" t="s">
        <v>37</v>
      </c>
      <c r="AC912" s="6" t="s">
        <v>43</v>
      </c>
      <c r="AD912" s="26" t="s">
        <v>77</v>
      </c>
      <c r="AE912" s="7">
        <v>372</v>
      </c>
      <c r="AF912" s="6">
        <v>464</v>
      </c>
      <c r="AG912" s="10">
        <v>3.6</v>
      </c>
      <c r="AH912" s="48" t="s">
        <v>209</v>
      </c>
    </row>
    <row r="913" ht="13.9" spans="1:34">
      <c r="A913" s="6" t="s">
        <v>202</v>
      </c>
      <c r="B913" s="7">
        <v>0</v>
      </c>
      <c r="C913" s="6">
        <v>0</v>
      </c>
      <c r="D913" s="6">
        <v>1.24</v>
      </c>
      <c r="E913" s="6">
        <v>0</v>
      </c>
      <c r="F913" s="6">
        <v>0.7</v>
      </c>
      <c r="G913" s="6">
        <v>0</v>
      </c>
      <c r="H913" s="6">
        <v>0</v>
      </c>
      <c r="I913" s="6">
        <v>0</v>
      </c>
      <c r="J913" s="6">
        <v>0</v>
      </c>
      <c r="K913" s="6">
        <v>0.12</v>
      </c>
      <c r="L913" s="6">
        <v>2.49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8">
        <f t="shared" si="31"/>
        <v>95.45</v>
      </c>
      <c r="U913" s="7">
        <v>530</v>
      </c>
      <c r="V913" s="6">
        <v>170</v>
      </c>
      <c r="W913" s="6">
        <v>24</v>
      </c>
      <c r="X913" s="6" t="s">
        <v>42</v>
      </c>
      <c r="Y913" s="6" t="s">
        <v>73</v>
      </c>
      <c r="Z913" s="6" t="s">
        <v>37</v>
      </c>
      <c r="AA913" s="6" t="s">
        <v>74</v>
      </c>
      <c r="AB913" s="6" t="s">
        <v>37</v>
      </c>
      <c r="AC913" s="6" t="s">
        <v>43</v>
      </c>
      <c r="AD913" s="26" t="s">
        <v>77</v>
      </c>
      <c r="AE913" s="7">
        <v>378</v>
      </c>
      <c r="AF913" s="6">
        <v>463</v>
      </c>
      <c r="AG913" s="10">
        <v>2.7</v>
      </c>
      <c r="AH913" s="48" t="s">
        <v>209</v>
      </c>
    </row>
    <row r="914" ht="13.9" spans="1:34">
      <c r="A914" s="6" t="s">
        <v>202</v>
      </c>
      <c r="B914" s="7">
        <v>0</v>
      </c>
      <c r="C914" s="6">
        <v>0</v>
      </c>
      <c r="D914" s="6">
        <v>1.07</v>
      </c>
      <c r="E914" s="6">
        <v>0</v>
      </c>
      <c r="F914" s="6">
        <v>1.07</v>
      </c>
      <c r="G914" s="6">
        <v>0</v>
      </c>
      <c r="H914" s="6">
        <v>3.4</v>
      </c>
      <c r="I914" s="6">
        <v>0</v>
      </c>
      <c r="J914" s="6">
        <v>0</v>
      </c>
      <c r="K914" s="6">
        <v>0.1</v>
      </c>
      <c r="L914" s="6">
        <v>1.8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8">
        <f t="shared" si="31"/>
        <v>92.56</v>
      </c>
      <c r="U914" s="7">
        <v>530</v>
      </c>
      <c r="V914" s="6">
        <v>185</v>
      </c>
      <c r="W914" s="6">
        <v>2</v>
      </c>
      <c r="X914" s="6" t="s">
        <v>42</v>
      </c>
      <c r="Y914" s="6" t="s">
        <v>73</v>
      </c>
      <c r="Z914" s="6" t="s">
        <v>37</v>
      </c>
      <c r="AA914" s="6" t="s">
        <v>74</v>
      </c>
      <c r="AB914" s="6" t="s">
        <v>37</v>
      </c>
      <c r="AC914" s="6" t="s">
        <v>43</v>
      </c>
      <c r="AD914" s="26" t="s">
        <v>77</v>
      </c>
      <c r="AE914" s="7">
        <v>323</v>
      </c>
      <c r="AF914" s="6">
        <v>459</v>
      </c>
      <c r="AG914" s="10">
        <v>8.2</v>
      </c>
      <c r="AH914" s="48" t="s">
        <v>209</v>
      </c>
    </row>
    <row r="915" ht="13.9" spans="1:34">
      <c r="A915" s="6" t="s">
        <v>202</v>
      </c>
      <c r="B915" s="7">
        <v>0</v>
      </c>
      <c r="C915" s="6">
        <v>0</v>
      </c>
      <c r="D915" s="6">
        <v>1.24</v>
      </c>
      <c r="E915" s="6">
        <v>0</v>
      </c>
      <c r="F915" s="6">
        <v>0.7</v>
      </c>
      <c r="G915" s="6">
        <v>0</v>
      </c>
      <c r="H915" s="6">
        <v>0</v>
      </c>
      <c r="I915" s="6">
        <v>0</v>
      </c>
      <c r="J915" s="6">
        <v>0</v>
      </c>
      <c r="K915" s="6">
        <v>0.12</v>
      </c>
      <c r="L915" s="6">
        <v>2.49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8">
        <f t="shared" si="31"/>
        <v>95.45</v>
      </c>
      <c r="U915" s="7">
        <v>530</v>
      </c>
      <c r="V915" s="6">
        <v>185</v>
      </c>
      <c r="W915" s="6">
        <v>8</v>
      </c>
      <c r="X915" s="6" t="s">
        <v>42</v>
      </c>
      <c r="Y915" s="6" t="s">
        <v>73</v>
      </c>
      <c r="Z915" s="6" t="s">
        <v>37</v>
      </c>
      <c r="AA915" s="6" t="s">
        <v>74</v>
      </c>
      <c r="AB915" s="6" t="s">
        <v>37</v>
      </c>
      <c r="AC915" s="6" t="s">
        <v>43</v>
      </c>
      <c r="AD915" s="26" t="s">
        <v>77</v>
      </c>
      <c r="AE915" s="7">
        <v>360</v>
      </c>
      <c r="AF915" s="6">
        <v>458</v>
      </c>
      <c r="AG915" s="10">
        <v>3</v>
      </c>
      <c r="AH915" s="48" t="s">
        <v>209</v>
      </c>
    </row>
    <row r="916" ht="13.9" spans="1:34">
      <c r="A916" s="6" t="s">
        <v>202</v>
      </c>
      <c r="B916" s="7">
        <v>0</v>
      </c>
      <c r="C916" s="6">
        <v>0</v>
      </c>
      <c r="D916" s="6">
        <v>1.24</v>
      </c>
      <c r="E916" s="6">
        <v>0</v>
      </c>
      <c r="F916" s="6">
        <v>0.7</v>
      </c>
      <c r="G916" s="6">
        <v>0</v>
      </c>
      <c r="H916" s="6">
        <v>0</v>
      </c>
      <c r="I916" s="6">
        <v>0</v>
      </c>
      <c r="J916" s="6">
        <v>0</v>
      </c>
      <c r="K916" s="6">
        <v>0.12</v>
      </c>
      <c r="L916" s="6">
        <v>2.49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8">
        <f t="shared" si="31"/>
        <v>95.45</v>
      </c>
      <c r="U916" s="7">
        <v>530</v>
      </c>
      <c r="V916" s="6">
        <v>185</v>
      </c>
      <c r="W916" s="6">
        <v>48</v>
      </c>
      <c r="X916" s="6" t="s">
        <v>42</v>
      </c>
      <c r="Y916" s="6" t="s">
        <v>73</v>
      </c>
      <c r="Z916" s="6" t="s">
        <v>37</v>
      </c>
      <c r="AA916" s="6" t="s">
        <v>74</v>
      </c>
      <c r="AB916" s="6" t="s">
        <v>37</v>
      </c>
      <c r="AC916" s="6" t="s">
        <v>43</v>
      </c>
      <c r="AD916" s="26" t="s">
        <v>77</v>
      </c>
      <c r="AE916" s="7">
        <v>357</v>
      </c>
      <c r="AF916" s="6">
        <v>451</v>
      </c>
      <c r="AG916" s="10">
        <v>4.4</v>
      </c>
      <c r="AH916" s="48" t="s">
        <v>209</v>
      </c>
    </row>
    <row r="917" ht="13.9" spans="1:34">
      <c r="A917" s="6" t="s">
        <v>202</v>
      </c>
      <c r="B917" s="7">
        <v>0</v>
      </c>
      <c r="C917" s="6">
        <v>0</v>
      </c>
      <c r="D917" s="6">
        <v>0.75</v>
      </c>
      <c r="E917" s="6">
        <v>0</v>
      </c>
      <c r="F917" s="6">
        <v>1.76</v>
      </c>
      <c r="G917" s="6">
        <v>0</v>
      </c>
      <c r="H917" s="6">
        <v>2.22</v>
      </c>
      <c r="I917" s="6">
        <v>0</v>
      </c>
      <c r="J917" s="6">
        <v>0</v>
      </c>
      <c r="K917" s="6">
        <v>0.12</v>
      </c>
      <c r="L917" s="6">
        <v>2.59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8">
        <f t="shared" si="31"/>
        <v>92.56</v>
      </c>
      <c r="U917" s="7">
        <v>530</v>
      </c>
      <c r="V917" s="6">
        <v>170</v>
      </c>
      <c r="W917" s="6">
        <v>1</v>
      </c>
      <c r="X917" s="6" t="s">
        <v>42</v>
      </c>
      <c r="Y917" s="6" t="s">
        <v>73</v>
      </c>
      <c r="Z917" s="6" t="s">
        <v>37</v>
      </c>
      <c r="AA917" s="6" t="s">
        <v>74</v>
      </c>
      <c r="AB917" s="6" t="s">
        <v>37</v>
      </c>
      <c r="AC917" s="6" t="s">
        <v>43</v>
      </c>
      <c r="AD917" s="26" t="s">
        <v>77</v>
      </c>
      <c r="AE917" s="7">
        <v>325</v>
      </c>
      <c r="AF917" s="6">
        <v>450</v>
      </c>
      <c r="AG917" s="10">
        <v>5.3</v>
      </c>
      <c r="AH917" s="48" t="s">
        <v>209</v>
      </c>
    </row>
    <row r="918" ht="13.9" spans="1:34">
      <c r="A918" s="6" t="s">
        <v>202</v>
      </c>
      <c r="B918" s="7">
        <v>0</v>
      </c>
      <c r="C918" s="6">
        <v>0</v>
      </c>
      <c r="D918" s="6">
        <v>1.24</v>
      </c>
      <c r="E918" s="6">
        <v>0</v>
      </c>
      <c r="F918" s="6">
        <v>0.7</v>
      </c>
      <c r="G918" s="6">
        <v>0</v>
      </c>
      <c r="H918" s="6">
        <v>0</v>
      </c>
      <c r="I918" s="6">
        <v>0</v>
      </c>
      <c r="J918" s="6">
        <v>0</v>
      </c>
      <c r="K918" s="6">
        <v>0.12</v>
      </c>
      <c r="L918" s="6">
        <v>2.49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8">
        <f t="shared" si="31"/>
        <v>95.45</v>
      </c>
      <c r="U918" s="7">
        <v>530</v>
      </c>
      <c r="V918" s="6">
        <v>185</v>
      </c>
      <c r="W918" s="6">
        <v>4</v>
      </c>
      <c r="X918" s="6" t="s">
        <v>42</v>
      </c>
      <c r="Y918" s="6" t="s">
        <v>73</v>
      </c>
      <c r="Z918" s="6" t="s">
        <v>37</v>
      </c>
      <c r="AA918" s="6" t="s">
        <v>74</v>
      </c>
      <c r="AB918" s="6" t="s">
        <v>37</v>
      </c>
      <c r="AC918" s="6" t="s">
        <v>43</v>
      </c>
      <c r="AD918" s="26" t="s">
        <v>77</v>
      </c>
      <c r="AE918" s="7">
        <v>347</v>
      </c>
      <c r="AF918" s="6">
        <v>449</v>
      </c>
      <c r="AG918" s="10">
        <v>3.9</v>
      </c>
      <c r="AH918" s="48" t="s">
        <v>209</v>
      </c>
    </row>
    <row r="919" ht="13.9" spans="1:34">
      <c r="A919" s="6" t="s">
        <v>202</v>
      </c>
      <c r="B919" s="7">
        <v>0</v>
      </c>
      <c r="C919" s="6">
        <v>0</v>
      </c>
      <c r="D919" s="6">
        <v>1.24</v>
      </c>
      <c r="E919" s="6">
        <v>0</v>
      </c>
      <c r="F919" s="6">
        <v>0.7</v>
      </c>
      <c r="G919" s="6">
        <v>0</v>
      </c>
      <c r="H919" s="6">
        <v>0</v>
      </c>
      <c r="I919" s="6">
        <v>0</v>
      </c>
      <c r="J919" s="6">
        <v>0</v>
      </c>
      <c r="K919" s="6">
        <v>0.12</v>
      </c>
      <c r="L919" s="6">
        <v>2.49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8">
        <f t="shared" si="31"/>
        <v>95.45</v>
      </c>
      <c r="U919" s="7">
        <v>530</v>
      </c>
      <c r="V919" s="6">
        <v>170</v>
      </c>
      <c r="W919" s="6">
        <v>8</v>
      </c>
      <c r="X919" s="6" t="s">
        <v>42</v>
      </c>
      <c r="Y919" s="6" t="s">
        <v>73</v>
      </c>
      <c r="Z919" s="6" t="s">
        <v>37</v>
      </c>
      <c r="AA919" s="6" t="s">
        <v>74</v>
      </c>
      <c r="AB919" s="6" t="s">
        <v>37</v>
      </c>
      <c r="AC919" s="6" t="s">
        <v>43</v>
      </c>
      <c r="AD919" s="26" t="s">
        <v>77</v>
      </c>
      <c r="AE919" s="7">
        <v>340</v>
      </c>
      <c r="AF919" s="6">
        <v>449</v>
      </c>
      <c r="AG919" s="10">
        <v>2.8</v>
      </c>
      <c r="AH919" s="48" t="s">
        <v>209</v>
      </c>
    </row>
    <row r="920" ht="13.9" spans="1:34">
      <c r="A920" s="6" t="s">
        <v>202</v>
      </c>
      <c r="B920" s="7">
        <v>0</v>
      </c>
      <c r="C920" s="6">
        <v>0</v>
      </c>
      <c r="D920" s="6">
        <v>1.24</v>
      </c>
      <c r="E920" s="6">
        <v>0</v>
      </c>
      <c r="F920" s="6">
        <v>0.7</v>
      </c>
      <c r="G920" s="6">
        <v>0</v>
      </c>
      <c r="H920" s="6">
        <v>0</v>
      </c>
      <c r="I920" s="6">
        <v>0</v>
      </c>
      <c r="J920" s="6">
        <v>0</v>
      </c>
      <c r="K920" s="6">
        <v>0.12</v>
      </c>
      <c r="L920" s="6">
        <v>2.49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8">
        <f t="shared" si="31"/>
        <v>95.45</v>
      </c>
      <c r="U920" s="7">
        <v>530</v>
      </c>
      <c r="V920" s="6">
        <v>170</v>
      </c>
      <c r="W920" s="6">
        <v>4</v>
      </c>
      <c r="X920" s="6" t="s">
        <v>42</v>
      </c>
      <c r="Y920" s="6" t="s">
        <v>73</v>
      </c>
      <c r="Z920" s="6" t="s">
        <v>37</v>
      </c>
      <c r="AA920" s="6" t="s">
        <v>74</v>
      </c>
      <c r="AB920" s="6" t="s">
        <v>37</v>
      </c>
      <c r="AC920" s="6" t="s">
        <v>43</v>
      </c>
      <c r="AD920" s="26" t="s">
        <v>77</v>
      </c>
      <c r="AE920" s="7">
        <v>321</v>
      </c>
      <c r="AF920" s="6">
        <v>441</v>
      </c>
      <c r="AG920" s="10">
        <v>3.5</v>
      </c>
      <c r="AH920" s="48" t="s">
        <v>209</v>
      </c>
    </row>
    <row r="921" ht="13.9" spans="1:34">
      <c r="A921" s="6" t="s">
        <v>202</v>
      </c>
      <c r="B921" s="7">
        <v>0</v>
      </c>
      <c r="C921" s="6">
        <v>0</v>
      </c>
      <c r="D921" s="6">
        <v>1.24</v>
      </c>
      <c r="E921" s="6">
        <v>0</v>
      </c>
      <c r="F921" s="6">
        <v>0.7</v>
      </c>
      <c r="G921" s="6">
        <v>0</v>
      </c>
      <c r="H921" s="6">
        <v>0</v>
      </c>
      <c r="I921" s="6">
        <v>0</v>
      </c>
      <c r="J921" s="6">
        <v>0</v>
      </c>
      <c r="K921" s="6">
        <v>0.12</v>
      </c>
      <c r="L921" s="6">
        <v>2.49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8">
        <f t="shared" si="31"/>
        <v>95.45</v>
      </c>
      <c r="U921" s="7">
        <v>530</v>
      </c>
      <c r="V921" s="6">
        <v>185</v>
      </c>
      <c r="W921" s="6">
        <v>2</v>
      </c>
      <c r="X921" s="6" t="s">
        <v>42</v>
      </c>
      <c r="Y921" s="6" t="s">
        <v>73</v>
      </c>
      <c r="Z921" s="6" t="s">
        <v>37</v>
      </c>
      <c r="AA921" s="6" t="s">
        <v>74</v>
      </c>
      <c r="AB921" s="6" t="s">
        <v>37</v>
      </c>
      <c r="AC921" s="6" t="s">
        <v>43</v>
      </c>
      <c r="AD921" s="26" t="s">
        <v>77</v>
      </c>
      <c r="AE921" s="7">
        <v>332</v>
      </c>
      <c r="AF921" s="6">
        <v>439</v>
      </c>
      <c r="AG921" s="10">
        <v>4.6</v>
      </c>
      <c r="AH921" s="48" t="s">
        <v>209</v>
      </c>
    </row>
    <row r="922" ht="13.9" spans="1:34">
      <c r="A922" s="6" t="s">
        <v>202</v>
      </c>
      <c r="B922" s="7">
        <v>0</v>
      </c>
      <c r="C922" s="6">
        <v>0</v>
      </c>
      <c r="D922" s="6">
        <v>1.24</v>
      </c>
      <c r="E922" s="6">
        <v>0</v>
      </c>
      <c r="F922" s="6">
        <v>0.7</v>
      </c>
      <c r="G922" s="6">
        <v>0</v>
      </c>
      <c r="H922" s="6">
        <v>0</v>
      </c>
      <c r="I922" s="6">
        <v>0</v>
      </c>
      <c r="J922" s="6">
        <v>0</v>
      </c>
      <c r="K922" s="6">
        <v>0.12</v>
      </c>
      <c r="L922" s="6">
        <v>2.49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8">
        <f t="shared" si="31"/>
        <v>95.45</v>
      </c>
      <c r="U922" s="7">
        <v>530</v>
      </c>
      <c r="V922" s="6">
        <v>170</v>
      </c>
      <c r="W922" s="6">
        <v>2</v>
      </c>
      <c r="X922" s="6" t="s">
        <v>42</v>
      </c>
      <c r="Y922" s="6" t="s">
        <v>73</v>
      </c>
      <c r="Z922" s="6" t="s">
        <v>37</v>
      </c>
      <c r="AA922" s="6" t="s">
        <v>74</v>
      </c>
      <c r="AB922" s="6" t="s">
        <v>37</v>
      </c>
      <c r="AC922" s="6" t="s">
        <v>43</v>
      </c>
      <c r="AD922" s="26" t="s">
        <v>77</v>
      </c>
      <c r="AE922" s="7">
        <v>314</v>
      </c>
      <c r="AF922" s="6">
        <v>433</v>
      </c>
      <c r="AG922" s="10">
        <v>4</v>
      </c>
      <c r="AH922" s="48" t="s">
        <v>209</v>
      </c>
    </row>
    <row r="923" ht="13.9" spans="1:34">
      <c r="A923" s="6" t="s">
        <v>202</v>
      </c>
      <c r="B923" s="7">
        <v>0</v>
      </c>
      <c r="C923" s="6">
        <v>0</v>
      </c>
      <c r="D923" s="6">
        <v>1.24</v>
      </c>
      <c r="E923" s="6">
        <v>0</v>
      </c>
      <c r="F923" s="6">
        <v>0.7</v>
      </c>
      <c r="G923" s="6">
        <v>0</v>
      </c>
      <c r="H923" s="6">
        <v>0</v>
      </c>
      <c r="I923" s="6">
        <v>0</v>
      </c>
      <c r="J923" s="6">
        <v>0</v>
      </c>
      <c r="K923" s="6">
        <v>0.12</v>
      </c>
      <c r="L923" s="6">
        <v>2.49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8">
        <f t="shared" si="31"/>
        <v>95.45</v>
      </c>
      <c r="U923" s="7">
        <v>530</v>
      </c>
      <c r="V923" s="6">
        <v>185</v>
      </c>
      <c r="W923" s="6">
        <v>96</v>
      </c>
      <c r="X923" s="6" t="s">
        <v>42</v>
      </c>
      <c r="Y923" s="6" t="s">
        <v>73</v>
      </c>
      <c r="Z923" s="6" t="s">
        <v>37</v>
      </c>
      <c r="AA923" s="6" t="s">
        <v>74</v>
      </c>
      <c r="AB923" s="6" t="s">
        <v>37</v>
      </c>
      <c r="AC923" s="6" t="s">
        <v>43</v>
      </c>
      <c r="AD923" s="26" t="s">
        <v>77</v>
      </c>
      <c r="AE923" s="7">
        <v>338</v>
      </c>
      <c r="AF923" s="6">
        <v>432</v>
      </c>
      <c r="AG923" s="10">
        <v>5.4</v>
      </c>
      <c r="AH923" s="48" t="s">
        <v>209</v>
      </c>
    </row>
    <row r="924" ht="13.9" spans="1:34">
      <c r="A924" s="6" t="s">
        <v>202</v>
      </c>
      <c r="B924" s="7">
        <v>0</v>
      </c>
      <c r="C924" s="6">
        <v>0</v>
      </c>
      <c r="D924" s="6">
        <v>1.07</v>
      </c>
      <c r="E924" s="6">
        <v>0</v>
      </c>
      <c r="F924" s="6">
        <v>1.07</v>
      </c>
      <c r="G924" s="6">
        <v>0</v>
      </c>
      <c r="H924" s="6">
        <v>3.4</v>
      </c>
      <c r="I924" s="6">
        <v>0</v>
      </c>
      <c r="J924" s="6">
        <v>0</v>
      </c>
      <c r="K924" s="6">
        <v>0.1</v>
      </c>
      <c r="L924" s="6">
        <v>1.8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8">
        <f t="shared" si="31"/>
        <v>92.56</v>
      </c>
      <c r="U924" s="7">
        <v>530</v>
      </c>
      <c r="V924" s="6">
        <v>170</v>
      </c>
      <c r="W924" s="6">
        <v>2</v>
      </c>
      <c r="X924" s="6" t="s">
        <v>42</v>
      </c>
      <c r="Y924" s="6" t="s">
        <v>73</v>
      </c>
      <c r="Z924" s="6" t="s">
        <v>37</v>
      </c>
      <c r="AA924" s="6" t="s">
        <v>74</v>
      </c>
      <c r="AB924" s="6" t="s">
        <v>37</v>
      </c>
      <c r="AC924" s="6" t="s">
        <v>43</v>
      </c>
      <c r="AD924" s="26" t="s">
        <v>77</v>
      </c>
      <c r="AE924" s="7">
        <v>297</v>
      </c>
      <c r="AF924" s="6">
        <v>419</v>
      </c>
      <c r="AG924" s="10">
        <v>8.2</v>
      </c>
      <c r="AH924" s="48" t="s">
        <v>209</v>
      </c>
    </row>
    <row r="925" ht="13.9" spans="1:34">
      <c r="A925" s="6" t="s">
        <v>202</v>
      </c>
      <c r="B925" s="7">
        <v>0</v>
      </c>
      <c r="C925" s="6">
        <v>0</v>
      </c>
      <c r="D925" s="6">
        <v>0</v>
      </c>
      <c r="E925" s="6">
        <v>0.6</v>
      </c>
      <c r="F925" s="6">
        <v>5</v>
      </c>
      <c r="G925" s="6">
        <v>0</v>
      </c>
      <c r="H925" s="6">
        <v>1</v>
      </c>
      <c r="I925" s="6">
        <v>0</v>
      </c>
      <c r="J925" s="6">
        <v>0</v>
      </c>
      <c r="K925" s="6">
        <v>0.11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0.25</v>
      </c>
      <c r="T925" s="8">
        <f t="shared" si="31"/>
        <v>93.04</v>
      </c>
      <c r="U925" s="7">
        <v>288</v>
      </c>
      <c r="V925" s="6">
        <v>25</v>
      </c>
      <c r="W925" s="6">
        <v>0</v>
      </c>
      <c r="X925" s="6" t="s">
        <v>42</v>
      </c>
      <c r="Y925" s="6" t="s">
        <v>50</v>
      </c>
      <c r="Z925" s="6" t="s">
        <v>37</v>
      </c>
      <c r="AA925" s="6" t="s">
        <v>37</v>
      </c>
      <c r="AB925" s="6" t="s">
        <v>37</v>
      </c>
      <c r="AC925" s="6" t="s">
        <v>43</v>
      </c>
      <c r="AD925" s="26" t="s">
        <v>57</v>
      </c>
      <c r="AE925" s="7">
        <v>352</v>
      </c>
      <c r="AF925" s="6">
        <v>434</v>
      </c>
      <c r="AG925" s="10">
        <v>9.9</v>
      </c>
      <c r="AH925" s="11" t="s">
        <v>210</v>
      </c>
    </row>
    <row r="926" ht="13.9" spans="1:34">
      <c r="A926" s="6" t="s">
        <v>202</v>
      </c>
      <c r="B926" s="7">
        <v>0</v>
      </c>
      <c r="C926" s="6">
        <v>0</v>
      </c>
      <c r="D926" s="6">
        <v>1</v>
      </c>
      <c r="E926" s="6">
        <v>0</v>
      </c>
      <c r="F926" s="6">
        <v>5</v>
      </c>
      <c r="G926" s="6">
        <v>0</v>
      </c>
      <c r="H926" s="6">
        <v>0</v>
      </c>
      <c r="I926" s="6">
        <v>0</v>
      </c>
      <c r="J926" s="6">
        <v>0</v>
      </c>
      <c r="K926" s="6">
        <v>0.11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0.25</v>
      </c>
      <c r="T926" s="8">
        <f t="shared" si="31"/>
        <v>93.64</v>
      </c>
      <c r="U926" s="7">
        <v>288</v>
      </c>
      <c r="V926" s="6">
        <v>25</v>
      </c>
      <c r="W926" s="6">
        <v>0</v>
      </c>
      <c r="X926" s="6" t="s">
        <v>42</v>
      </c>
      <c r="Y926" s="6" t="s">
        <v>50</v>
      </c>
      <c r="Z926" s="6" t="s">
        <v>37</v>
      </c>
      <c r="AA926" s="6" t="s">
        <v>37</v>
      </c>
      <c r="AB926" s="6" t="s">
        <v>37</v>
      </c>
      <c r="AC926" s="6" t="s">
        <v>43</v>
      </c>
      <c r="AD926" s="26" t="s">
        <v>57</v>
      </c>
      <c r="AE926" s="7">
        <v>332</v>
      </c>
      <c r="AF926" s="6">
        <v>412</v>
      </c>
      <c r="AG926" s="10">
        <v>11.4</v>
      </c>
      <c r="AH926" s="11" t="s">
        <v>210</v>
      </c>
    </row>
    <row r="927" ht="13.9" spans="1:34">
      <c r="A927" s="6" t="s">
        <v>202</v>
      </c>
      <c r="B927" s="7">
        <v>0</v>
      </c>
      <c r="C927" s="6">
        <v>0</v>
      </c>
      <c r="D927" s="6">
        <v>0</v>
      </c>
      <c r="E927" s="6">
        <v>0.5</v>
      </c>
      <c r="F927" s="6">
        <v>5</v>
      </c>
      <c r="G927" s="6">
        <v>0</v>
      </c>
      <c r="H927" s="6">
        <v>0</v>
      </c>
      <c r="I927" s="6">
        <v>0</v>
      </c>
      <c r="J927" s="6">
        <v>0</v>
      </c>
      <c r="K927" s="6">
        <v>0.11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0.25</v>
      </c>
      <c r="T927" s="8">
        <f t="shared" si="31"/>
        <v>94.14</v>
      </c>
      <c r="U927" s="7">
        <v>288</v>
      </c>
      <c r="V927" s="6">
        <v>25</v>
      </c>
      <c r="W927" s="6">
        <v>0</v>
      </c>
      <c r="X927" s="6" t="s">
        <v>42</v>
      </c>
      <c r="Y927" s="6" t="s">
        <v>50</v>
      </c>
      <c r="Z927" s="6" t="s">
        <v>37</v>
      </c>
      <c r="AA927" s="6" t="s">
        <v>37</v>
      </c>
      <c r="AB927" s="6" t="s">
        <v>37</v>
      </c>
      <c r="AC927" s="6" t="s">
        <v>43</v>
      </c>
      <c r="AD927" s="26" t="s">
        <v>57</v>
      </c>
      <c r="AE927" s="7">
        <v>321</v>
      </c>
      <c r="AF927" s="6">
        <v>412</v>
      </c>
      <c r="AG927" s="10">
        <v>11.6</v>
      </c>
      <c r="AH927" s="11" t="s">
        <v>210</v>
      </c>
    </row>
    <row r="928" ht="13.9" spans="1:34">
      <c r="A928" s="6" t="s">
        <v>202</v>
      </c>
      <c r="B928" s="7">
        <v>0</v>
      </c>
      <c r="C928" s="6">
        <v>0</v>
      </c>
      <c r="D928" s="6">
        <v>0</v>
      </c>
      <c r="E928" s="6">
        <v>0</v>
      </c>
      <c r="F928" s="6">
        <v>5</v>
      </c>
      <c r="G928" s="6">
        <v>0</v>
      </c>
      <c r="H928" s="6">
        <v>1</v>
      </c>
      <c r="I928" s="6">
        <v>0</v>
      </c>
      <c r="J928" s="6">
        <v>0</v>
      </c>
      <c r="K928" s="6">
        <v>0.11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0.25</v>
      </c>
      <c r="T928" s="8">
        <f t="shared" si="31"/>
        <v>93.64</v>
      </c>
      <c r="U928" s="7">
        <v>288</v>
      </c>
      <c r="V928" s="6">
        <v>25</v>
      </c>
      <c r="W928" s="6">
        <v>0</v>
      </c>
      <c r="X928" s="6" t="s">
        <v>42</v>
      </c>
      <c r="Y928" s="6" t="s">
        <v>50</v>
      </c>
      <c r="Z928" s="6" t="s">
        <v>37</v>
      </c>
      <c r="AA928" s="6" t="s">
        <v>37</v>
      </c>
      <c r="AB928" s="6" t="s">
        <v>37</v>
      </c>
      <c r="AC928" s="6" t="s">
        <v>43</v>
      </c>
      <c r="AD928" s="26" t="s">
        <v>57</v>
      </c>
      <c r="AE928" s="7">
        <v>321</v>
      </c>
      <c r="AF928" s="6">
        <v>404</v>
      </c>
      <c r="AG928" s="10">
        <v>12</v>
      </c>
      <c r="AH928" s="11" t="s">
        <v>210</v>
      </c>
    </row>
    <row r="929" ht="13.9" spans="1:34">
      <c r="A929" s="6" t="s">
        <v>202</v>
      </c>
      <c r="B929" s="7">
        <v>0</v>
      </c>
      <c r="C929" s="6">
        <v>0</v>
      </c>
      <c r="D929" s="6">
        <v>0</v>
      </c>
      <c r="E929" s="6">
        <v>0</v>
      </c>
      <c r="F929" s="6">
        <v>5</v>
      </c>
      <c r="G929" s="6">
        <v>0</v>
      </c>
      <c r="H929" s="6">
        <v>0</v>
      </c>
      <c r="I929" s="6">
        <v>0</v>
      </c>
      <c r="J929" s="6">
        <v>0</v>
      </c>
      <c r="K929" s="6">
        <v>0.11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0.25</v>
      </c>
      <c r="T929" s="8">
        <f t="shared" si="31"/>
        <v>94.64</v>
      </c>
      <c r="U929" s="7">
        <v>288</v>
      </c>
      <c r="V929" s="6">
        <v>25</v>
      </c>
      <c r="W929" s="6">
        <v>0</v>
      </c>
      <c r="X929" s="6" t="s">
        <v>42</v>
      </c>
      <c r="Y929" s="6" t="s">
        <v>50</v>
      </c>
      <c r="Z929" s="6" t="s">
        <v>37</v>
      </c>
      <c r="AA929" s="6" t="s">
        <v>37</v>
      </c>
      <c r="AB929" s="6" t="s">
        <v>37</v>
      </c>
      <c r="AC929" s="6" t="s">
        <v>43</v>
      </c>
      <c r="AD929" s="26" t="s">
        <v>57</v>
      </c>
      <c r="AE929" s="7">
        <v>290</v>
      </c>
      <c r="AF929" s="6">
        <v>390</v>
      </c>
      <c r="AG929" s="10">
        <v>11.7</v>
      </c>
      <c r="AH929" s="11" t="s">
        <v>210</v>
      </c>
    </row>
    <row r="930" ht="13.9" spans="1:34">
      <c r="A930" s="6" t="s">
        <v>202</v>
      </c>
      <c r="B930" s="7">
        <v>0</v>
      </c>
      <c r="C930" s="6">
        <v>0</v>
      </c>
      <c r="D930" s="6">
        <v>0</v>
      </c>
      <c r="E930" s="6">
        <v>0.4</v>
      </c>
      <c r="F930" s="6">
        <v>5.8</v>
      </c>
      <c r="G930" s="6">
        <v>0</v>
      </c>
      <c r="H930" s="6">
        <v>0</v>
      </c>
      <c r="I930" s="6">
        <v>0</v>
      </c>
      <c r="J930" s="6">
        <v>0</v>
      </c>
      <c r="K930" s="6">
        <v>0.1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0.25</v>
      </c>
      <c r="T930" s="8">
        <f t="shared" ref="T930:T946" si="32">100-SUM(B930:S930)</f>
        <v>93.45</v>
      </c>
      <c r="U930" s="7">
        <v>325</v>
      </c>
      <c r="V930" s="6">
        <v>25</v>
      </c>
      <c r="W930" s="6">
        <v>0</v>
      </c>
      <c r="X930" s="6" t="s">
        <v>42</v>
      </c>
      <c r="Y930" s="6" t="s">
        <v>50</v>
      </c>
      <c r="Z930" s="6" t="s">
        <v>37</v>
      </c>
      <c r="AA930" s="6" t="s">
        <v>37</v>
      </c>
      <c r="AB930" s="6" t="s">
        <v>37</v>
      </c>
      <c r="AC930" s="6" t="s">
        <v>43</v>
      </c>
      <c r="AD930" s="26" t="s">
        <v>57</v>
      </c>
      <c r="AE930" s="7">
        <v>343</v>
      </c>
      <c r="AF930" s="6">
        <v>448</v>
      </c>
      <c r="AG930" s="10">
        <v>16.5</v>
      </c>
      <c r="AH930" s="48" t="s">
        <v>211</v>
      </c>
    </row>
    <row r="931" ht="13.9" spans="1:34">
      <c r="A931" s="6" t="s">
        <v>202</v>
      </c>
      <c r="B931" s="7">
        <v>0</v>
      </c>
      <c r="C931" s="6">
        <v>0</v>
      </c>
      <c r="D931" s="6">
        <v>0</v>
      </c>
      <c r="E931" s="6">
        <v>0.4</v>
      </c>
      <c r="F931" s="6">
        <v>5.8</v>
      </c>
      <c r="G931" s="6">
        <v>0</v>
      </c>
      <c r="H931" s="6">
        <v>0</v>
      </c>
      <c r="I931" s="6">
        <v>0</v>
      </c>
      <c r="J931" s="6">
        <v>0</v>
      </c>
      <c r="K931" s="6">
        <v>0.1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0.25</v>
      </c>
      <c r="T931" s="8">
        <f t="shared" si="32"/>
        <v>93.45</v>
      </c>
      <c r="U931" s="7">
        <v>375</v>
      </c>
      <c r="V931" s="6">
        <v>25</v>
      </c>
      <c r="W931" s="6">
        <v>0</v>
      </c>
      <c r="X931" s="6" t="s">
        <v>42</v>
      </c>
      <c r="Y931" s="6" t="s">
        <v>50</v>
      </c>
      <c r="Z931" s="6" t="s">
        <v>37</v>
      </c>
      <c r="AA931" s="6" t="s">
        <v>37</v>
      </c>
      <c r="AB931" s="6" t="s">
        <v>37</v>
      </c>
      <c r="AC931" s="6" t="s">
        <v>43</v>
      </c>
      <c r="AD931" s="26" t="s">
        <v>57</v>
      </c>
      <c r="AE931" s="7">
        <v>328</v>
      </c>
      <c r="AF931" s="6">
        <v>438</v>
      </c>
      <c r="AG931" s="10">
        <v>17.5</v>
      </c>
      <c r="AH931" s="48" t="s">
        <v>211</v>
      </c>
    </row>
    <row r="932" ht="13.9" spans="1:34">
      <c r="A932" s="6" t="s">
        <v>202</v>
      </c>
      <c r="B932" s="7">
        <v>0</v>
      </c>
      <c r="C932" s="6">
        <v>0</v>
      </c>
      <c r="D932" s="6">
        <v>0</v>
      </c>
      <c r="E932" s="6">
        <v>0.4</v>
      </c>
      <c r="F932" s="6">
        <v>5.8</v>
      </c>
      <c r="G932" s="6">
        <v>0</v>
      </c>
      <c r="H932" s="6">
        <v>0</v>
      </c>
      <c r="I932" s="6">
        <v>0</v>
      </c>
      <c r="J932" s="6">
        <v>0</v>
      </c>
      <c r="K932" s="6">
        <v>0.1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0.25</v>
      </c>
      <c r="T932" s="8">
        <f t="shared" si="32"/>
        <v>93.45</v>
      </c>
      <c r="U932" s="7">
        <v>425</v>
      </c>
      <c r="V932" s="6">
        <v>25</v>
      </c>
      <c r="W932" s="6">
        <v>0</v>
      </c>
      <c r="X932" s="6" t="s">
        <v>42</v>
      </c>
      <c r="Y932" s="6" t="s">
        <v>50</v>
      </c>
      <c r="Z932" s="6" t="s">
        <v>37</v>
      </c>
      <c r="AA932" s="6" t="s">
        <v>37</v>
      </c>
      <c r="AB932" s="6" t="s">
        <v>37</v>
      </c>
      <c r="AC932" s="6" t="s">
        <v>43</v>
      </c>
      <c r="AD932" s="26" t="s">
        <v>57</v>
      </c>
      <c r="AE932" s="7">
        <v>283</v>
      </c>
      <c r="AF932" s="6">
        <v>418</v>
      </c>
      <c r="AG932" s="10">
        <v>19</v>
      </c>
      <c r="AH932" s="48" t="s">
        <v>211</v>
      </c>
    </row>
    <row r="933" ht="13.9" spans="1:34">
      <c r="A933" s="6" t="s">
        <v>202</v>
      </c>
      <c r="B933" s="7">
        <v>0</v>
      </c>
      <c r="C933" s="6">
        <v>0</v>
      </c>
      <c r="D933" s="6">
        <v>0</v>
      </c>
      <c r="E933" s="6">
        <v>0.4</v>
      </c>
      <c r="F933" s="6">
        <v>5.8</v>
      </c>
      <c r="G933" s="6">
        <v>0</v>
      </c>
      <c r="H933" s="6">
        <v>0</v>
      </c>
      <c r="I933" s="6">
        <v>0</v>
      </c>
      <c r="J933" s="6">
        <v>0</v>
      </c>
      <c r="K933" s="6">
        <v>0.1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0.25</v>
      </c>
      <c r="T933" s="8">
        <f t="shared" si="32"/>
        <v>93.45</v>
      </c>
      <c r="U933" s="7">
        <v>475</v>
      </c>
      <c r="V933" s="6">
        <v>25</v>
      </c>
      <c r="W933" s="6">
        <v>0</v>
      </c>
      <c r="X933" s="6" t="s">
        <v>42</v>
      </c>
      <c r="Y933" s="6" t="s">
        <v>50</v>
      </c>
      <c r="Z933" s="6" t="s">
        <v>37</v>
      </c>
      <c r="AA933" s="6" t="s">
        <v>37</v>
      </c>
      <c r="AB933" s="6" t="s">
        <v>37</v>
      </c>
      <c r="AC933" s="6" t="s">
        <v>43</v>
      </c>
      <c r="AD933" s="26" t="s">
        <v>57</v>
      </c>
      <c r="AE933" s="7">
        <v>253</v>
      </c>
      <c r="AF933" s="6">
        <v>400</v>
      </c>
      <c r="AG933" s="10">
        <v>19</v>
      </c>
      <c r="AH933" s="48" t="s">
        <v>211</v>
      </c>
    </row>
    <row r="934" ht="13.9" spans="1:34">
      <c r="A934" s="6" t="s">
        <v>202</v>
      </c>
      <c r="B934" s="7">
        <v>0</v>
      </c>
      <c r="C934" s="6">
        <v>0</v>
      </c>
      <c r="D934" s="6">
        <v>0</v>
      </c>
      <c r="E934" s="6">
        <v>0.4</v>
      </c>
      <c r="F934" s="6">
        <v>5.8</v>
      </c>
      <c r="G934" s="6">
        <v>0</v>
      </c>
      <c r="H934" s="6">
        <v>0</v>
      </c>
      <c r="I934" s="6">
        <v>0</v>
      </c>
      <c r="J934" s="6">
        <v>0</v>
      </c>
      <c r="K934" s="6">
        <v>0.1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0.25</v>
      </c>
      <c r="T934" s="8">
        <f t="shared" si="32"/>
        <v>93.45</v>
      </c>
      <c r="U934" s="7">
        <v>525</v>
      </c>
      <c r="V934" s="6">
        <v>25</v>
      </c>
      <c r="W934" s="6">
        <v>0</v>
      </c>
      <c r="X934" s="6" t="s">
        <v>42</v>
      </c>
      <c r="Y934" s="6" t="s">
        <v>50</v>
      </c>
      <c r="Z934" s="6" t="s">
        <v>37</v>
      </c>
      <c r="AA934" s="6" t="s">
        <v>37</v>
      </c>
      <c r="AB934" s="6" t="s">
        <v>37</v>
      </c>
      <c r="AC934" s="6" t="s">
        <v>43</v>
      </c>
      <c r="AD934" s="26" t="s">
        <v>57</v>
      </c>
      <c r="AE934" s="7">
        <v>215</v>
      </c>
      <c r="AF934" s="6">
        <v>393</v>
      </c>
      <c r="AG934" s="10">
        <v>19.5</v>
      </c>
      <c r="AH934" s="48" t="s">
        <v>211</v>
      </c>
    </row>
    <row r="935" ht="13.9" spans="1:34">
      <c r="A935" s="6" t="s">
        <v>202</v>
      </c>
      <c r="B935" s="7">
        <v>0</v>
      </c>
      <c r="C935" s="6">
        <v>0</v>
      </c>
      <c r="D935" s="6">
        <v>0</v>
      </c>
      <c r="E935" s="6">
        <v>0.63</v>
      </c>
      <c r="F935" s="6">
        <v>3.42</v>
      </c>
      <c r="G935" s="6">
        <v>0</v>
      </c>
      <c r="H935" s="6">
        <v>0</v>
      </c>
      <c r="I935" s="6">
        <v>0</v>
      </c>
      <c r="J935" s="6">
        <v>0</v>
      </c>
      <c r="K935" s="6">
        <v>0.22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0.23</v>
      </c>
      <c r="T935" s="8">
        <f t="shared" si="32"/>
        <v>95.5</v>
      </c>
      <c r="U935" s="7">
        <v>25</v>
      </c>
      <c r="V935" s="6">
        <v>25</v>
      </c>
      <c r="W935" s="6">
        <v>0</v>
      </c>
      <c r="X935" s="6" t="s">
        <v>42</v>
      </c>
      <c r="Y935" s="6" t="s">
        <v>35</v>
      </c>
      <c r="Z935" s="6" t="s">
        <v>37</v>
      </c>
      <c r="AA935" s="6" t="s">
        <v>37</v>
      </c>
      <c r="AB935" s="6" t="s">
        <v>37</v>
      </c>
      <c r="AC935" s="6" t="s">
        <v>43</v>
      </c>
      <c r="AD935" s="26" t="s">
        <v>52</v>
      </c>
      <c r="AE935" s="7">
        <v>254</v>
      </c>
      <c r="AF935" s="6">
        <v>348</v>
      </c>
      <c r="AG935" s="10">
        <v>11.5</v>
      </c>
      <c r="AH935" s="48" t="s">
        <v>212</v>
      </c>
    </row>
    <row r="936" ht="13.9" spans="1:34">
      <c r="A936" s="6" t="s">
        <v>202</v>
      </c>
      <c r="B936" s="7">
        <v>0</v>
      </c>
      <c r="C936" s="6">
        <v>0</v>
      </c>
      <c r="D936" s="6">
        <v>0</v>
      </c>
      <c r="E936" s="6">
        <v>0.63</v>
      </c>
      <c r="F936" s="6">
        <v>3.42</v>
      </c>
      <c r="G936" s="6">
        <v>0</v>
      </c>
      <c r="H936" s="6">
        <v>0</v>
      </c>
      <c r="I936" s="6">
        <v>0</v>
      </c>
      <c r="J936" s="6">
        <v>0</v>
      </c>
      <c r="K936" s="6">
        <v>0.22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0.23</v>
      </c>
      <c r="T936" s="8">
        <f t="shared" si="32"/>
        <v>95.5</v>
      </c>
      <c r="U936" s="7">
        <v>600</v>
      </c>
      <c r="V936" s="6">
        <v>288</v>
      </c>
      <c r="W936" s="6">
        <v>72</v>
      </c>
      <c r="X936" s="6" t="s">
        <v>42</v>
      </c>
      <c r="Y936" s="6" t="s">
        <v>50</v>
      </c>
      <c r="Z936" s="6" t="s">
        <v>37</v>
      </c>
      <c r="AA936" s="6" t="s">
        <v>74</v>
      </c>
      <c r="AB936" s="6" t="s">
        <v>37</v>
      </c>
      <c r="AC936" s="6" t="s">
        <v>43</v>
      </c>
      <c r="AD936" s="26" t="s">
        <v>77</v>
      </c>
      <c r="AE936" s="7">
        <v>200</v>
      </c>
      <c r="AF936" s="6">
        <v>317</v>
      </c>
      <c r="AG936" s="10">
        <v>9.5</v>
      </c>
      <c r="AH936" s="48" t="s">
        <v>212</v>
      </c>
    </row>
    <row r="937" ht="13.9" spans="1:34">
      <c r="A937" s="6" t="s">
        <v>202</v>
      </c>
      <c r="B937" s="7">
        <v>0</v>
      </c>
      <c r="C937" s="6">
        <v>0</v>
      </c>
      <c r="D937" s="6">
        <v>0</v>
      </c>
      <c r="E937" s="6">
        <v>0.63</v>
      </c>
      <c r="F937" s="6">
        <v>3.42</v>
      </c>
      <c r="G937" s="6">
        <v>0</v>
      </c>
      <c r="H937" s="6">
        <v>0</v>
      </c>
      <c r="I937" s="6">
        <v>0</v>
      </c>
      <c r="J937" s="6">
        <v>0</v>
      </c>
      <c r="K937" s="6">
        <v>0.22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0.23</v>
      </c>
      <c r="T937" s="8">
        <f t="shared" si="32"/>
        <v>95.5</v>
      </c>
      <c r="U937" s="7">
        <v>600</v>
      </c>
      <c r="V937" s="6">
        <v>25</v>
      </c>
      <c r="W937" s="6">
        <v>0</v>
      </c>
      <c r="X937" s="6" t="s">
        <v>42</v>
      </c>
      <c r="Y937" s="6" t="s">
        <v>50</v>
      </c>
      <c r="Z937" s="6" t="s">
        <v>37</v>
      </c>
      <c r="AA937" s="6" t="s">
        <v>37</v>
      </c>
      <c r="AB937" s="6" t="s">
        <v>37</v>
      </c>
      <c r="AC937" s="6" t="s">
        <v>43</v>
      </c>
      <c r="AD937" s="26" t="s">
        <v>57</v>
      </c>
      <c r="AE937" s="7">
        <v>113</v>
      </c>
      <c r="AF937" s="6">
        <v>239</v>
      </c>
      <c r="AG937" s="10">
        <v>9.5</v>
      </c>
      <c r="AH937" s="48" t="s">
        <v>212</v>
      </c>
    </row>
    <row r="938" ht="13.9" spans="1:34">
      <c r="A938" s="6" t="s">
        <v>202</v>
      </c>
      <c r="B938" s="7">
        <v>0</v>
      </c>
      <c r="C938" s="6">
        <v>0</v>
      </c>
      <c r="D938" s="6">
        <v>1.22</v>
      </c>
      <c r="E938" s="6">
        <v>0</v>
      </c>
      <c r="F938" s="6">
        <v>0.63</v>
      </c>
      <c r="G938" s="6">
        <v>0</v>
      </c>
      <c r="H938" s="6">
        <v>0.92</v>
      </c>
      <c r="I938" s="6">
        <v>0</v>
      </c>
      <c r="J938" s="6">
        <v>0</v>
      </c>
      <c r="K938" s="6">
        <v>0.1</v>
      </c>
      <c r="L938" s="6">
        <v>2.57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8">
        <f t="shared" si="32"/>
        <v>94.56</v>
      </c>
      <c r="U938" s="7">
        <v>525</v>
      </c>
      <c r="V938" s="6">
        <v>190</v>
      </c>
      <c r="W938" s="6">
        <v>10</v>
      </c>
      <c r="X938" s="6" t="s">
        <v>42</v>
      </c>
      <c r="Y938" s="6" t="s">
        <v>73</v>
      </c>
      <c r="Z938" s="6" t="s">
        <v>37</v>
      </c>
      <c r="AA938" s="6" t="s">
        <v>74</v>
      </c>
      <c r="AB938" s="6" t="s">
        <v>37</v>
      </c>
      <c r="AC938" s="6" t="s">
        <v>43</v>
      </c>
      <c r="AD938" s="26" t="s">
        <v>77</v>
      </c>
      <c r="AE938" s="7">
        <v>439</v>
      </c>
      <c r="AF938" s="6">
        <v>542</v>
      </c>
      <c r="AG938" s="10">
        <v>8.2</v>
      </c>
      <c r="AH938" s="48" t="s">
        <v>213</v>
      </c>
    </row>
    <row r="939" ht="13.9" spans="1:34">
      <c r="A939" s="6" t="s">
        <v>202</v>
      </c>
      <c r="B939" s="7">
        <v>0</v>
      </c>
      <c r="C939" s="6">
        <v>0</v>
      </c>
      <c r="D939" s="6">
        <v>1.1</v>
      </c>
      <c r="E939" s="6">
        <v>0</v>
      </c>
      <c r="F939" s="6">
        <v>0.61</v>
      </c>
      <c r="G939" s="6">
        <v>0</v>
      </c>
      <c r="H939" s="6">
        <v>2.08</v>
      </c>
      <c r="I939" s="6">
        <v>0</v>
      </c>
      <c r="J939" s="6">
        <v>0</v>
      </c>
      <c r="K939" s="6">
        <v>0.12</v>
      </c>
      <c r="L939" s="6">
        <v>2.38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8">
        <f t="shared" si="32"/>
        <v>93.71</v>
      </c>
      <c r="U939" s="7">
        <v>525</v>
      </c>
      <c r="V939" s="6">
        <v>190</v>
      </c>
      <c r="W939" s="6">
        <v>10</v>
      </c>
      <c r="X939" s="6" t="s">
        <v>42</v>
      </c>
      <c r="Y939" s="6" t="s">
        <v>73</v>
      </c>
      <c r="Z939" s="6" t="s">
        <v>37</v>
      </c>
      <c r="AA939" s="6" t="s">
        <v>74</v>
      </c>
      <c r="AB939" s="6" t="s">
        <v>37</v>
      </c>
      <c r="AC939" s="6" t="s">
        <v>43</v>
      </c>
      <c r="AD939" s="26" t="s">
        <v>77</v>
      </c>
      <c r="AE939" s="7">
        <v>402</v>
      </c>
      <c r="AF939" s="6">
        <v>500</v>
      </c>
      <c r="AG939" s="10">
        <v>7.6</v>
      </c>
      <c r="AH939" s="48" t="s">
        <v>213</v>
      </c>
    </row>
    <row r="940" ht="13.9" spans="1:34">
      <c r="A940" s="6" t="s">
        <v>202</v>
      </c>
      <c r="B940" s="7">
        <v>0</v>
      </c>
      <c r="C940" s="6">
        <v>0</v>
      </c>
      <c r="D940" s="6">
        <v>1.22</v>
      </c>
      <c r="E940" s="6">
        <v>0</v>
      </c>
      <c r="F940" s="6">
        <v>0.61</v>
      </c>
      <c r="G940" s="6">
        <v>0</v>
      </c>
      <c r="H940" s="6">
        <v>0</v>
      </c>
      <c r="I940" s="6">
        <v>0</v>
      </c>
      <c r="J940" s="6">
        <v>0</v>
      </c>
      <c r="K940" s="6">
        <v>0.08</v>
      </c>
      <c r="L940" s="6">
        <v>2.49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8">
        <f t="shared" si="32"/>
        <v>95.6</v>
      </c>
      <c r="U940" s="7">
        <v>525</v>
      </c>
      <c r="V940" s="6">
        <v>190</v>
      </c>
      <c r="W940" s="6">
        <v>16</v>
      </c>
      <c r="X940" s="6" t="s">
        <v>42</v>
      </c>
      <c r="Y940" s="6" t="s">
        <v>73</v>
      </c>
      <c r="Z940" s="6" t="s">
        <v>37</v>
      </c>
      <c r="AA940" s="6" t="s">
        <v>74</v>
      </c>
      <c r="AB940" s="6" t="s">
        <v>37</v>
      </c>
      <c r="AC940" s="6" t="s">
        <v>43</v>
      </c>
      <c r="AD940" s="26" t="s">
        <v>77</v>
      </c>
      <c r="AE940" s="7">
        <v>304</v>
      </c>
      <c r="AF940" s="6">
        <v>425</v>
      </c>
      <c r="AG940" s="10">
        <v>9.4</v>
      </c>
      <c r="AH940" s="48" t="s">
        <v>213</v>
      </c>
    </row>
    <row r="941" ht="13.9" spans="1:34">
      <c r="A941" s="6" t="s">
        <v>202</v>
      </c>
      <c r="B941" s="7">
        <v>0</v>
      </c>
      <c r="C941" s="6">
        <v>0</v>
      </c>
      <c r="D941" s="6">
        <v>1.22</v>
      </c>
      <c r="E941" s="6">
        <v>0</v>
      </c>
      <c r="F941" s="6">
        <v>0.63</v>
      </c>
      <c r="G941" s="6">
        <v>0</v>
      </c>
      <c r="H941" s="6">
        <v>0.92</v>
      </c>
      <c r="I941" s="6">
        <v>0</v>
      </c>
      <c r="J941" s="6">
        <v>0</v>
      </c>
      <c r="K941" s="6">
        <v>0.1</v>
      </c>
      <c r="L941" s="6">
        <v>2.57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8">
        <f t="shared" si="32"/>
        <v>94.56</v>
      </c>
      <c r="U941" s="7">
        <v>525</v>
      </c>
      <c r="V941" s="6">
        <v>25</v>
      </c>
      <c r="W941" s="6">
        <v>1440</v>
      </c>
      <c r="X941" s="6" t="s">
        <v>42</v>
      </c>
      <c r="Y941" s="6" t="s">
        <v>73</v>
      </c>
      <c r="Z941" s="6" t="s">
        <v>37</v>
      </c>
      <c r="AA941" s="6" t="s">
        <v>80</v>
      </c>
      <c r="AB941" s="6" t="s">
        <v>37</v>
      </c>
      <c r="AC941" s="6" t="s">
        <v>43</v>
      </c>
      <c r="AD941" s="26" t="s">
        <v>86</v>
      </c>
      <c r="AE941" s="7">
        <v>229</v>
      </c>
      <c r="AF941" s="6">
        <v>380</v>
      </c>
      <c r="AG941" s="10">
        <v>15.1</v>
      </c>
      <c r="AH941" s="48" t="s">
        <v>213</v>
      </c>
    </row>
    <row r="942" ht="13.9" spans="1:34">
      <c r="A942" s="6" t="s">
        <v>202</v>
      </c>
      <c r="B942" s="7">
        <v>0</v>
      </c>
      <c r="C942" s="6">
        <v>0</v>
      </c>
      <c r="D942" s="6">
        <v>1.1</v>
      </c>
      <c r="E942" s="6">
        <v>0</v>
      </c>
      <c r="F942" s="6">
        <v>0.61</v>
      </c>
      <c r="G942" s="6">
        <v>0</v>
      </c>
      <c r="H942" s="6">
        <v>2.08</v>
      </c>
      <c r="I942" s="6">
        <v>0</v>
      </c>
      <c r="J942" s="6">
        <v>0</v>
      </c>
      <c r="K942" s="6">
        <v>0.12</v>
      </c>
      <c r="L942" s="6">
        <v>2.38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8">
        <f t="shared" si="32"/>
        <v>93.71</v>
      </c>
      <c r="U942" s="7">
        <v>525</v>
      </c>
      <c r="V942" s="6">
        <v>25</v>
      </c>
      <c r="W942" s="6">
        <v>1440</v>
      </c>
      <c r="X942" s="6" t="s">
        <v>42</v>
      </c>
      <c r="Y942" s="6" t="s">
        <v>73</v>
      </c>
      <c r="Z942" s="6" t="s">
        <v>37</v>
      </c>
      <c r="AA942" s="6" t="s">
        <v>80</v>
      </c>
      <c r="AB942" s="6" t="s">
        <v>37</v>
      </c>
      <c r="AC942" s="6" t="s">
        <v>43</v>
      </c>
      <c r="AD942" s="26" t="s">
        <v>86</v>
      </c>
      <c r="AE942" s="7">
        <v>213</v>
      </c>
      <c r="AF942" s="6">
        <v>372</v>
      </c>
      <c r="AG942" s="10">
        <v>14</v>
      </c>
      <c r="AH942" s="48" t="s">
        <v>213</v>
      </c>
    </row>
    <row r="943" ht="13.9" spans="1:34">
      <c r="A943" s="6" t="s">
        <v>202</v>
      </c>
      <c r="B943" s="7">
        <v>0</v>
      </c>
      <c r="C943" s="6">
        <v>0</v>
      </c>
      <c r="D943" s="6">
        <v>1.22</v>
      </c>
      <c r="E943" s="6">
        <v>0</v>
      </c>
      <c r="F943" s="6">
        <v>0.63</v>
      </c>
      <c r="G943" s="6">
        <v>0</v>
      </c>
      <c r="H943" s="6">
        <v>0.92</v>
      </c>
      <c r="I943" s="6">
        <v>0</v>
      </c>
      <c r="J943" s="6">
        <v>0</v>
      </c>
      <c r="K943" s="6">
        <v>0.1</v>
      </c>
      <c r="L943" s="6">
        <v>2.57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8">
        <f t="shared" si="32"/>
        <v>94.56</v>
      </c>
      <c r="U943" s="7">
        <v>525</v>
      </c>
      <c r="V943" s="6">
        <v>25</v>
      </c>
      <c r="W943" s="6">
        <v>0</v>
      </c>
      <c r="X943" s="6" t="s">
        <v>42</v>
      </c>
      <c r="Y943" s="6" t="s">
        <v>73</v>
      </c>
      <c r="Z943" s="6" t="s">
        <v>37</v>
      </c>
      <c r="AA943" s="6" t="s">
        <v>80</v>
      </c>
      <c r="AB943" s="6" t="s">
        <v>37</v>
      </c>
      <c r="AC943" s="6" t="s">
        <v>43</v>
      </c>
      <c r="AD943" s="26" t="s">
        <v>86</v>
      </c>
      <c r="AE943" s="7">
        <v>204</v>
      </c>
      <c r="AF943" s="6">
        <v>369</v>
      </c>
      <c r="AG943" s="10">
        <v>15.6</v>
      </c>
      <c r="AH943" s="48" t="s">
        <v>213</v>
      </c>
    </row>
    <row r="944" ht="13.9" spans="1:34">
      <c r="A944" s="6" t="s">
        <v>202</v>
      </c>
      <c r="B944" s="7">
        <v>0</v>
      </c>
      <c r="C944" s="6">
        <v>0</v>
      </c>
      <c r="D944" s="6">
        <v>1.1</v>
      </c>
      <c r="E944" s="6">
        <v>0</v>
      </c>
      <c r="F944" s="6">
        <v>0.61</v>
      </c>
      <c r="G944" s="6">
        <v>0</v>
      </c>
      <c r="H944" s="6">
        <v>2.08</v>
      </c>
      <c r="I944" s="6">
        <v>0</v>
      </c>
      <c r="J944" s="6">
        <v>0</v>
      </c>
      <c r="K944" s="6">
        <v>0.12</v>
      </c>
      <c r="L944" s="6">
        <v>2.38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8">
        <f t="shared" si="32"/>
        <v>93.71</v>
      </c>
      <c r="U944" s="7">
        <v>525</v>
      </c>
      <c r="V944" s="6">
        <v>25</v>
      </c>
      <c r="W944" s="6">
        <v>0</v>
      </c>
      <c r="X944" s="6" t="s">
        <v>42</v>
      </c>
      <c r="Y944" s="6" t="s">
        <v>73</v>
      </c>
      <c r="Z944" s="6" t="s">
        <v>37</v>
      </c>
      <c r="AA944" s="6" t="s">
        <v>80</v>
      </c>
      <c r="AB944" s="6" t="s">
        <v>37</v>
      </c>
      <c r="AC944" s="6" t="s">
        <v>43</v>
      </c>
      <c r="AD944" s="26" t="s">
        <v>86</v>
      </c>
      <c r="AE944" s="7">
        <v>186</v>
      </c>
      <c r="AF944" s="6">
        <v>342</v>
      </c>
      <c r="AG944" s="10">
        <v>14.8</v>
      </c>
      <c r="AH944" s="48" t="s">
        <v>213</v>
      </c>
    </row>
    <row r="945" ht="13.9" spans="1:34">
      <c r="A945" s="6" t="s">
        <v>202</v>
      </c>
      <c r="B945" s="7">
        <v>0</v>
      </c>
      <c r="C945" s="6">
        <v>0</v>
      </c>
      <c r="D945" s="6">
        <v>1.22</v>
      </c>
      <c r="E945" s="6">
        <v>0</v>
      </c>
      <c r="F945" s="6">
        <v>0.61</v>
      </c>
      <c r="G945" s="6">
        <v>0</v>
      </c>
      <c r="H945" s="6">
        <v>0</v>
      </c>
      <c r="I945" s="6">
        <v>0</v>
      </c>
      <c r="J945" s="6">
        <v>0</v>
      </c>
      <c r="K945" s="6">
        <v>0.08</v>
      </c>
      <c r="L945" s="6">
        <v>2.49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8">
        <f t="shared" si="32"/>
        <v>95.6</v>
      </c>
      <c r="U945" s="7">
        <v>525</v>
      </c>
      <c r="V945" s="6">
        <v>25</v>
      </c>
      <c r="W945" s="6">
        <v>1440</v>
      </c>
      <c r="X945" s="6" t="s">
        <v>42</v>
      </c>
      <c r="Y945" s="6" t="s">
        <v>73</v>
      </c>
      <c r="Z945" s="6" t="s">
        <v>37</v>
      </c>
      <c r="AA945" s="6" t="s">
        <v>80</v>
      </c>
      <c r="AB945" s="6" t="s">
        <v>37</v>
      </c>
      <c r="AC945" s="6" t="s">
        <v>43</v>
      </c>
      <c r="AD945" s="26" t="s">
        <v>86</v>
      </c>
      <c r="AE945" s="7">
        <v>165</v>
      </c>
      <c r="AF945" s="6">
        <v>296</v>
      </c>
      <c r="AG945" s="10">
        <v>23.3</v>
      </c>
      <c r="AH945" s="48" t="s">
        <v>213</v>
      </c>
    </row>
    <row r="946" ht="13.9" spans="1:34">
      <c r="A946" s="6" t="s">
        <v>202</v>
      </c>
      <c r="B946" s="7">
        <v>0</v>
      </c>
      <c r="C946" s="6">
        <v>0</v>
      </c>
      <c r="D946" s="6">
        <v>1.22</v>
      </c>
      <c r="E946" s="6">
        <v>0</v>
      </c>
      <c r="F946" s="6">
        <v>0.61</v>
      </c>
      <c r="G946" s="6">
        <v>0</v>
      </c>
      <c r="H946" s="6">
        <v>0</v>
      </c>
      <c r="I946" s="6">
        <v>0</v>
      </c>
      <c r="J946" s="6">
        <v>0</v>
      </c>
      <c r="K946" s="6">
        <v>0.08</v>
      </c>
      <c r="L946" s="6">
        <v>2.49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8">
        <f t="shared" si="32"/>
        <v>95.6</v>
      </c>
      <c r="U946" s="7">
        <v>525</v>
      </c>
      <c r="V946" s="6">
        <v>25</v>
      </c>
      <c r="W946" s="6">
        <v>0</v>
      </c>
      <c r="X946" s="6" t="s">
        <v>42</v>
      </c>
      <c r="Y946" s="6" t="s">
        <v>73</v>
      </c>
      <c r="Z946" s="6" t="s">
        <v>37</v>
      </c>
      <c r="AA946" s="6" t="s">
        <v>80</v>
      </c>
      <c r="AB946" s="6" t="s">
        <v>37</v>
      </c>
      <c r="AC946" s="6" t="s">
        <v>43</v>
      </c>
      <c r="AD946" s="26" t="s">
        <v>86</v>
      </c>
      <c r="AE946" s="7">
        <v>140</v>
      </c>
      <c r="AF946" s="6">
        <v>264</v>
      </c>
      <c r="AG946" s="10">
        <v>25.4</v>
      </c>
      <c r="AH946" s="48" t="s">
        <v>213</v>
      </c>
    </row>
    <row r="947" ht="13.9" spans="1:34">
      <c r="A947" s="6" t="s">
        <v>202</v>
      </c>
      <c r="B947" s="7">
        <v>0</v>
      </c>
      <c r="C947" s="6">
        <v>0</v>
      </c>
      <c r="D947" s="6">
        <v>0.39</v>
      </c>
      <c r="E947" s="6">
        <v>0.28</v>
      </c>
      <c r="F947" s="6">
        <v>2.02</v>
      </c>
      <c r="G947" s="6">
        <v>0</v>
      </c>
      <c r="H947" s="6">
        <v>5.48</v>
      </c>
      <c r="I947" s="6">
        <v>0</v>
      </c>
      <c r="J947" s="6">
        <v>0</v>
      </c>
      <c r="K947" s="6">
        <v>0.11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0.26</v>
      </c>
      <c r="T947" s="8">
        <v>91.46</v>
      </c>
      <c r="U947" s="7">
        <v>470</v>
      </c>
      <c r="V947" s="6">
        <v>120</v>
      </c>
      <c r="W947" s="6">
        <v>24</v>
      </c>
      <c r="X947" s="6" t="s">
        <v>42</v>
      </c>
      <c r="Y947" s="6" t="s">
        <v>73</v>
      </c>
      <c r="Z947" s="6" t="s">
        <v>37</v>
      </c>
      <c r="AA947" s="6" t="s">
        <v>74</v>
      </c>
      <c r="AB947" s="6" t="s">
        <v>37</v>
      </c>
      <c r="AC947" s="6" t="s">
        <v>43</v>
      </c>
      <c r="AD947" s="26" t="s">
        <v>77</v>
      </c>
      <c r="AE947" s="7">
        <v>560.6</v>
      </c>
      <c r="AF947" s="6">
        <v>580.9</v>
      </c>
      <c r="AG947" s="6">
        <v>11.1</v>
      </c>
      <c r="AH947" s="11" t="s">
        <v>214</v>
      </c>
    </row>
    <row r="948" ht="13.9" spans="1:34">
      <c r="A948" s="6" t="s">
        <v>202</v>
      </c>
      <c r="B948" s="7">
        <v>0</v>
      </c>
      <c r="C948" s="6">
        <v>0</v>
      </c>
      <c r="D948" s="6">
        <v>0.39</v>
      </c>
      <c r="E948" s="6">
        <v>0.28</v>
      </c>
      <c r="F948" s="6">
        <v>2.02</v>
      </c>
      <c r="G948" s="6">
        <v>0</v>
      </c>
      <c r="H948" s="6">
        <v>5.48</v>
      </c>
      <c r="I948" s="6">
        <v>0</v>
      </c>
      <c r="J948" s="6">
        <v>0</v>
      </c>
      <c r="K948" s="6">
        <v>0.11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0.26</v>
      </c>
      <c r="T948" s="8">
        <v>91.46</v>
      </c>
      <c r="U948" s="7">
        <v>480</v>
      </c>
      <c r="V948" s="6">
        <v>120</v>
      </c>
      <c r="W948" s="6">
        <v>24</v>
      </c>
      <c r="X948" s="6" t="s">
        <v>42</v>
      </c>
      <c r="Y948" s="6" t="s">
        <v>73</v>
      </c>
      <c r="Z948" s="6" t="s">
        <v>37</v>
      </c>
      <c r="AA948" s="6" t="s">
        <v>74</v>
      </c>
      <c r="AB948" s="6" t="s">
        <v>37</v>
      </c>
      <c r="AC948" s="6" t="s">
        <v>43</v>
      </c>
      <c r="AD948" s="26" t="s">
        <v>77</v>
      </c>
      <c r="AE948" s="7">
        <v>557.2</v>
      </c>
      <c r="AF948" s="6">
        <v>578</v>
      </c>
      <c r="AG948" s="6">
        <v>11</v>
      </c>
      <c r="AH948" s="11" t="s">
        <v>214</v>
      </c>
    </row>
    <row r="949" ht="13.9" spans="1:34">
      <c r="A949" s="6" t="s">
        <v>202</v>
      </c>
      <c r="B949" s="7">
        <v>0</v>
      </c>
      <c r="C949" s="6">
        <v>0</v>
      </c>
      <c r="D949" s="6">
        <v>0.39</v>
      </c>
      <c r="E949" s="6">
        <v>0.28</v>
      </c>
      <c r="F949" s="6">
        <v>2.02</v>
      </c>
      <c r="G949" s="6">
        <v>0</v>
      </c>
      <c r="H949" s="6">
        <v>5.48</v>
      </c>
      <c r="I949" s="6">
        <v>0</v>
      </c>
      <c r="J949" s="6">
        <v>0</v>
      </c>
      <c r="K949" s="6">
        <v>0.11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0.26</v>
      </c>
      <c r="T949" s="8">
        <v>91.46</v>
      </c>
      <c r="U949" s="7">
        <v>460</v>
      </c>
      <c r="V949" s="6">
        <v>120</v>
      </c>
      <c r="W949" s="6">
        <v>24</v>
      </c>
      <c r="X949" s="6" t="s">
        <v>42</v>
      </c>
      <c r="Y949" s="6" t="s">
        <v>73</v>
      </c>
      <c r="Z949" s="6" t="s">
        <v>37</v>
      </c>
      <c r="AA949" s="6" t="s">
        <v>74</v>
      </c>
      <c r="AB949" s="6" t="s">
        <v>37</v>
      </c>
      <c r="AC949" s="6" t="s">
        <v>43</v>
      </c>
      <c r="AD949" s="26" t="s">
        <v>77</v>
      </c>
      <c r="AE949" s="7">
        <v>553.8</v>
      </c>
      <c r="AF949" s="6">
        <v>567.4</v>
      </c>
      <c r="AG949" s="6">
        <v>11.6</v>
      </c>
      <c r="AH949" s="11" t="s">
        <v>214</v>
      </c>
    </row>
    <row r="950" ht="13.9" spans="1:34">
      <c r="A950" s="6" t="s">
        <v>202</v>
      </c>
      <c r="B950" s="7">
        <v>0</v>
      </c>
      <c r="C950" s="6">
        <v>0</v>
      </c>
      <c r="D950" s="6">
        <v>0.39</v>
      </c>
      <c r="E950" s="6">
        <v>0.28</v>
      </c>
      <c r="F950" s="6">
        <v>2.02</v>
      </c>
      <c r="G950" s="6">
        <v>0</v>
      </c>
      <c r="H950" s="6">
        <v>5.48</v>
      </c>
      <c r="I950" s="6">
        <v>0</v>
      </c>
      <c r="J950" s="6">
        <v>0</v>
      </c>
      <c r="K950" s="6">
        <v>0.11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0.26</v>
      </c>
      <c r="T950" s="8">
        <v>91.46</v>
      </c>
      <c r="U950" s="7">
        <v>490</v>
      </c>
      <c r="V950" s="6">
        <v>120</v>
      </c>
      <c r="W950" s="6">
        <v>24</v>
      </c>
      <c r="X950" s="6" t="s">
        <v>42</v>
      </c>
      <c r="Y950" s="6" t="s">
        <v>73</v>
      </c>
      <c r="Z950" s="6" t="s">
        <v>37</v>
      </c>
      <c r="AA950" s="6" t="s">
        <v>74</v>
      </c>
      <c r="AB950" s="6" t="s">
        <v>37</v>
      </c>
      <c r="AC950" s="6" t="s">
        <v>43</v>
      </c>
      <c r="AD950" s="26" t="s">
        <v>77</v>
      </c>
      <c r="AE950" s="7">
        <v>530.5</v>
      </c>
      <c r="AF950" s="6">
        <v>550.8</v>
      </c>
      <c r="AG950" s="6">
        <v>10.8</v>
      </c>
      <c r="AH950" s="11" t="s">
        <v>214</v>
      </c>
    </row>
    <row r="951" ht="13.9" spans="1:34">
      <c r="A951" s="6" t="s">
        <v>202</v>
      </c>
      <c r="B951" s="7">
        <v>0</v>
      </c>
      <c r="C951" s="6">
        <v>0</v>
      </c>
      <c r="D951" s="6">
        <v>0</v>
      </c>
      <c r="E951" s="6">
        <v>0.35</v>
      </c>
      <c r="F951" s="6">
        <v>1.98</v>
      </c>
      <c r="G951" s="6">
        <v>0</v>
      </c>
      <c r="H951" s="6">
        <v>5.42</v>
      </c>
      <c r="I951" s="6">
        <v>0</v>
      </c>
      <c r="J951" s="6">
        <v>0</v>
      </c>
      <c r="K951" s="6">
        <v>0.12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0.24</v>
      </c>
      <c r="T951" s="8">
        <v>91.89</v>
      </c>
      <c r="U951" s="7">
        <v>470</v>
      </c>
      <c r="V951" s="6">
        <v>120</v>
      </c>
      <c r="W951" s="6">
        <v>24</v>
      </c>
      <c r="X951" s="6" t="s">
        <v>42</v>
      </c>
      <c r="Y951" s="6" t="s">
        <v>73</v>
      </c>
      <c r="Z951" s="6" t="s">
        <v>37</v>
      </c>
      <c r="AA951" s="6" t="s">
        <v>74</v>
      </c>
      <c r="AB951" s="6" t="s">
        <v>37</v>
      </c>
      <c r="AC951" s="6" t="s">
        <v>43</v>
      </c>
      <c r="AD951" s="26" t="s">
        <v>77</v>
      </c>
      <c r="AE951" s="7">
        <v>561</v>
      </c>
      <c r="AF951" s="6">
        <v>584</v>
      </c>
      <c r="AG951" s="6">
        <v>10.8</v>
      </c>
      <c r="AH951" s="11" t="s">
        <v>215</v>
      </c>
    </row>
    <row r="952" ht="13.9" spans="1:34">
      <c r="A952" s="6" t="s">
        <v>202</v>
      </c>
      <c r="B952" s="7">
        <v>0</v>
      </c>
      <c r="C952" s="6">
        <v>0</v>
      </c>
      <c r="D952" s="6">
        <v>0</v>
      </c>
      <c r="E952" s="6">
        <v>0.35</v>
      </c>
      <c r="F952" s="6">
        <v>1.98</v>
      </c>
      <c r="G952" s="6">
        <v>0</v>
      </c>
      <c r="H952" s="6">
        <v>5.42</v>
      </c>
      <c r="I952" s="6">
        <v>0</v>
      </c>
      <c r="J952" s="6">
        <v>0</v>
      </c>
      <c r="K952" s="6">
        <v>0.12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0.24</v>
      </c>
      <c r="T952" s="8">
        <v>91.89</v>
      </c>
      <c r="U952" s="7">
        <v>470</v>
      </c>
      <c r="V952" s="6">
        <v>120</v>
      </c>
      <c r="W952" s="6">
        <v>48</v>
      </c>
      <c r="X952" s="6" t="s">
        <v>42</v>
      </c>
      <c r="Y952" s="6" t="s">
        <v>73</v>
      </c>
      <c r="Z952" s="6" t="s">
        <v>37</v>
      </c>
      <c r="AA952" s="6" t="s">
        <v>74</v>
      </c>
      <c r="AB952" s="6" t="s">
        <v>37</v>
      </c>
      <c r="AC952" s="6" t="s">
        <v>43</v>
      </c>
      <c r="AD952" s="26" t="s">
        <v>77</v>
      </c>
      <c r="AE952" s="7">
        <v>549</v>
      </c>
      <c r="AF952" s="6">
        <v>577</v>
      </c>
      <c r="AG952" s="6">
        <v>10.9</v>
      </c>
      <c r="AH952" s="11" t="s">
        <v>215</v>
      </c>
    </row>
    <row r="953" ht="13.9" spans="1:34">
      <c r="A953" s="6" t="s">
        <v>202</v>
      </c>
      <c r="B953" s="7">
        <v>0</v>
      </c>
      <c r="C953" s="6">
        <v>0</v>
      </c>
      <c r="D953" s="6">
        <v>0</v>
      </c>
      <c r="E953" s="6">
        <v>0.35</v>
      </c>
      <c r="F953" s="6">
        <v>1.98</v>
      </c>
      <c r="G953" s="6">
        <v>0</v>
      </c>
      <c r="H953" s="6">
        <v>5.42</v>
      </c>
      <c r="I953" s="6">
        <v>0</v>
      </c>
      <c r="J953" s="6">
        <v>0</v>
      </c>
      <c r="K953" s="6">
        <v>0.12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0.24</v>
      </c>
      <c r="T953" s="8">
        <v>91.89</v>
      </c>
      <c r="U953" s="7">
        <v>470</v>
      </c>
      <c r="V953" s="6">
        <v>120</v>
      </c>
      <c r="W953" s="6">
        <v>12</v>
      </c>
      <c r="X953" s="6" t="s">
        <v>42</v>
      </c>
      <c r="Y953" s="6" t="s">
        <v>73</v>
      </c>
      <c r="Z953" s="6" t="s">
        <v>37</v>
      </c>
      <c r="AA953" s="6" t="s">
        <v>74</v>
      </c>
      <c r="AB953" s="6" t="s">
        <v>37</v>
      </c>
      <c r="AC953" s="6" t="s">
        <v>43</v>
      </c>
      <c r="AD953" s="26" t="s">
        <v>77</v>
      </c>
      <c r="AE953" s="7">
        <v>541</v>
      </c>
      <c r="AF953" s="6">
        <v>568</v>
      </c>
      <c r="AG953" s="6">
        <v>11.4</v>
      </c>
      <c r="AH953" s="11" t="s">
        <v>215</v>
      </c>
    </row>
    <row r="954" ht="13.9" spans="1:34">
      <c r="A954" s="6" t="s">
        <v>202</v>
      </c>
      <c r="B954" s="7">
        <v>0</v>
      </c>
      <c r="C954" s="6">
        <v>0</v>
      </c>
      <c r="D954" s="6">
        <v>0</v>
      </c>
      <c r="E954" s="6">
        <v>0.35</v>
      </c>
      <c r="F954" s="6">
        <v>1.98</v>
      </c>
      <c r="G954" s="6">
        <v>0</v>
      </c>
      <c r="H954" s="6">
        <v>5.42</v>
      </c>
      <c r="I954" s="6">
        <v>0</v>
      </c>
      <c r="J954" s="6">
        <v>0</v>
      </c>
      <c r="K954" s="6">
        <v>0.12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0.12</v>
      </c>
      <c r="T954" s="8">
        <v>92.01</v>
      </c>
      <c r="U954" s="7">
        <v>470</v>
      </c>
      <c r="V954" s="6">
        <v>120</v>
      </c>
      <c r="W954" s="6">
        <v>24</v>
      </c>
      <c r="X954" s="6" t="s">
        <v>42</v>
      </c>
      <c r="Y954" s="6" t="s">
        <v>73</v>
      </c>
      <c r="Z954" s="6" t="s">
        <v>37</v>
      </c>
      <c r="AA954" s="6" t="s">
        <v>74</v>
      </c>
      <c r="AB954" s="6" t="s">
        <v>37</v>
      </c>
      <c r="AC954" s="6" t="s">
        <v>43</v>
      </c>
      <c r="AD954" s="26" t="s">
        <v>77</v>
      </c>
      <c r="AE954" s="7">
        <v>518</v>
      </c>
      <c r="AF954" s="6">
        <v>554</v>
      </c>
      <c r="AG954" s="6">
        <v>12.7</v>
      </c>
      <c r="AH954" s="11" t="s">
        <v>215</v>
      </c>
    </row>
    <row r="955" ht="13.9" spans="1:34">
      <c r="A955" s="6" t="s">
        <v>202</v>
      </c>
      <c r="B955" s="7">
        <v>0</v>
      </c>
      <c r="C955" s="6">
        <v>0</v>
      </c>
      <c r="D955" s="6">
        <v>0</v>
      </c>
      <c r="E955" s="6">
        <v>0.35</v>
      </c>
      <c r="F955" s="6">
        <v>1.98</v>
      </c>
      <c r="G955" s="6">
        <v>0</v>
      </c>
      <c r="H955" s="6">
        <v>5.42</v>
      </c>
      <c r="I955" s="6">
        <v>0</v>
      </c>
      <c r="J955" s="6">
        <v>0</v>
      </c>
      <c r="K955" s="6">
        <v>0.12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0.12</v>
      </c>
      <c r="T955" s="8">
        <v>92.01</v>
      </c>
      <c r="U955" s="7">
        <v>470</v>
      </c>
      <c r="V955" s="6">
        <v>120</v>
      </c>
      <c r="W955" s="6">
        <v>48</v>
      </c>
      <c r="X955" s="6" t="s">
        <v>42</v>
      </c>
      <c r="Y955" s="6" t="s">
        <v>73</v>
      </c>
      <c r="Z955" s="6" t="s">
        <v>37</v>
      </c>
      <c r="AA955" s="6" t="s">
        <v>74</v>
      </c>
      <c r="AB955" s="6" t="s">
        <v>37</v>
      </c>
      <c r="AC955" s="6" t="s">
        <v>43</v>
      </c>
      <c r="AD955" s="26" t="s">
        <v>77</v>
      </c>
      <c r="AE955" s="7">
        <v>509</v>
      </c>
      <c r="AF955" s="6">
        <v>545</v>
      </c>
      <c r="AG955" s="6">
        <v>13.2</v>
      </c>
      <c r="AH955" s="11" t="s">
        <v>215</v>
      </c>
    </row>
    <row r="956" ht="13.9" spans="1:34">
      <c r="A956" s="6" t="s">
        <v>202</v>
      </c>
      <c r="B956" s="7">
        <v>0</v>
      </c>
      <c r="C956" s="6">
        <v>0</v>
      </c>
      <c r="D956" s="6">
        <v>0</v>
      </c>
      <c r="E956" s="6">
        <v>0.35</v>
      </c>
      <c r="F956" s="6">
        <v>1.98</v>
      </c>
      <c r="G956" s="6">
        <v>0</v>
      </c>
      <c r="H956" s="6">
        <v>5.42</v>
      </c>
      <c r="I956" s="6">
        <v>0</v>
      </c>
      <c r="J956" s="6">
        <v>0</v>
      </c>
      <c r="K956" s="6">
        <v>0.12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0.12</v>
      </c>
      <c r="T956" s="8">
        <v>92.01</v>
      </c>
      <c r="U956" s="7">
        <v>470</v>
      </c>
      <c r="V956" s="6">
        <v>120</v>
      </c>
      <c r="W956" s="6">
        <v>12</v>
      </c>
      <c r="X956" s="6" t="s">
        <v>42</v>
      </c>
      <c r="Y956" s="6" t="s">
        <v>73</v>
      </c>
      <c r="Z956" s="6" t="s">
        <v>37</v>
      </c>
      <c r="AA956" s="6" t="s">
        <v>74</v>
      </c>
      <c r="AB956" s="6" t="s">
        <v>37</v>
      </c>
      <c r="AC956" s="6" t="s">
        <v>43</v>
      </c>
      <c r="AD956" s="26" t="s">
        <v>77</v>
      </c>
      <c r="AE956" s="7">
        <v>495</v>
      </c>
      <c r="AF956" s="6">
        <v>531</v>
      </c>
      <c r="AG956" s="6">
        <v>13.6</v>
      </c>
      <c r="AH956" s="11" t="s">
        <v>215</v>
      </c>
    </row>
    <row r="957" ht="13.9" spans="1:34">
      <c r="A957" s="6" t="s">
        <v>202</v>
      </c>
      <c r="B957" s="7">
        <v>0</v>
      </c>
      <c r="C957" s="6">
        <v>0</v>
      </c>
      <c r="D957" s="6">
        <v>0</v>
      </c>
      <c r="E957" s="6">
        <v>0.35</v>
      </c>
      <c r="F957" s="6">
        <v>1.98</v>
      </c>
      <c r="G957" s="6">
        <v>0</v>
      </c>
      <c r="H957" s="6">
        <v>5.42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8">
        <v>92.25</v>
      </c>
      <c r="U957" s="7">
        <v>470</v>
      </c>
      <c r="V957" s="6">
        <v>120</v>
      </c>
      <c r="W957" s="6">
        <v>24</v>
      </c>
      <c r="X957" s="6" t="s">
        <v>42</v>
      </c>
      <c r="Y957" s="6" t="s">
        <v>73</v>
      </c>
      <c r="Z957" s="6" t="s">
        <v>37</v>
      </c>
      <c r="AA957" s="6" t="s">
        <v>74</v>
      </c>
      <c r="AB957" s="6" t="s">
        <v>37</v>
      </c>
      <c r="AC957" s="6" t="s">
        <v>43</v>
      </c>
      <c r="AD957" s="26" t="s">
        <v>77</v>
      </c>
      <c r="AE957" s="7">
        <v>479</v>
      </c>
      <c r="AF957" s="6">
        <v>514</v>
      </c>
      <c r="AG957" s="6">
        <v>14.2</v>
      </c>
      <c r="AH957" s="11" t="s">
        <v>215</v>
      </c>
    </row>
    <row r="958" ht="13.9" spans="1:34">
      <c r="A958" s="6" t="s">
        <v>202</v>
      </c>
      <c r="B958" s="7">
        <v>0</v>
      </c>
      <c r="C958" s="6">
        <v>0</v>
      </c>
      <c r="D958" s="6">
        <v>0</v>
      </c>
      <c r="E958" s="6">
        <v>0.35</v>
      </c>
      <c r="F958" s="6">
        <v>1.98</v>
      </c>
      <c r="G958" s="6">
        <v>0</v>
      </c>
      <c r="H958" s="6">
        <v>5.42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8">
        <v>92.25</v>
      </c>
      <c r="U958" s="7">
        <v>470</v>
      </c>
      <c r="V958" s="6">
        <v>120</v>
      </c>
      <c r="W958" s="6">
        <v>48</v>
      </c>
      <c r="X958" s="6" t="s">
        <v>42</v>
      </c>
      <c r="Y958" s="6" t="s">
        <v>73</v>
      </c>
      <c r="Z958" s="6" t="s">
        <v>37</v>
      </c>
      <c r="AA958" s="6" t="s">
        <v>74</v>
      </c>
      <c r="AB958" s="6" t="s">
        <v>37</v>
      </c>
      <c r="AC958" s="6" t="s">
        <v>43</v>
      </c>
      <c r="AD958" s="26" t="s">
        <v>77</v>
      </c>
      <c r="AE958" s="7">
        <v>465</v>
      </c>
      <c r="AF958" s="6">
        <v>506</v>
      </c>
      <c r="AG958" s="6">
        <v>14.8</v>
      </c>
      <c r="AH958" s="11" t="s">
        <v>215</v>
      </c>
    </row>
    <row r="959" ht="13.9" spans="1:34">
      <c r="A959" s="6" t="s">
        <v>202</v>
      </c>
      <c r="B959" s="7">
        <v>0</v>
      </c>
      <c r="C959" s="6">
        <v>0</v>
      </c>
      <c r="D959" s="6">
        <v>0</v>
      </c>
      <c r="E959" s="6">
        <v>0.35</v>
      </c>
      <c r="F959" s="6">
        <v>1.98</v>
      </c>
      <c r="G959" s="6">
        <v>0</v>
      </c>
      <c r="H959" s="6">
        <v>5.42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8">
        <v>92.25</v>
      </c>
      <c r="U959" s="7">
        <v>470</v>
      </c>
      <c r="V959" s="6">
        <v>120</v>
      </c>
      <c r="W959" s="6">
        <v>12</v>
      </c>
      <c r="X959" s="6" t="s">
        <v>42</v>
      </c>
      <c r="Y959" s="6" t="s">
        <v>73</v>
      </c>
      <c r="Z959" s="6" t="s">
        <v>37</v>
      </c>
      <c r="AA959" s="6" t="s">
        <v>74</v>
      </c>
      <c r="AB959" s="6" t="s">
        <v>37</v>
      </c>
      <c r="AC959" s="6" t="s">
        <v>43</v>
      </c>
      <c r="AD959" s="26" t="s">
        <v>77</v>
      </c>
      <c r="AE959" s="7">
        <v>462</v>
      </c>
      <c r="AF959" s="6">
        <v>498</v>
      </c>
      <c r="AG959" s="6">
        <v>15.8</v>
      </c>
      <c r="AH959" s="11" t="s">
        <v>215</v>
      </c>
    </row>
    <row r="960" ht="13.9" spans="1:34">
      <c r="A960" s="6" t="s">
        <v>202</v>
      </c>
      <c r="B960" s="7">
        <v>0</v>
      </c>
      <c r="C960" s="6">
        <v>0</v>
      </c>
      <c r="D960" s="6">
        <v>0.22</v>
      </c>
      <c r="E960" s="6">
        <v>0</v>
      </c>
      <c r="F960" s="6">
        <v>2.49</v>
      </c>
      <c r="G960" s="6">
        <v>0</v>
      </c>
      <c r="H960" s="6">
        <v>7.11</v>
      </c>
      <c r="I960" s="6">
        <v>0</v>
      </c>
      <c r="J960" s="6">
        <v>0</v>
      </c>
      <c r="K960" s="6">
        <v>0.4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0.22</v>
      </c>
      <c r="T960" s="8">
        <f t="shared" ref="T960:T967" si="33">100-SUM(B960:S960)</f>
        <v>89.56</v>
      </c>
      <c r="U960" s="7">
        <v>470</v>
      </c>
      <c r="V960" s="6">
        <v>120</v>
      </c>
      <c r="W960" s="6">
        <v>32</v>
      </c>
      <c r="X960" s="6" t="s">
        <v>42</v>
      </c>
      <c r="Y960" s="6" t="s">
        <v>73</v>
      </c>
      <c r="Z960" s="6" t="s">
        <v>37</v>
      </c>
      <c r="AA960" s="6" t="s">
        <v>74</v>
      </c>
      <c r="AB960" s="6" t="s">
        <v>37</v>
      </c>
      <c r="AC960" s="6" t="s">
        <v>43</v>
      </c>
      <c r="AD960" s="26" t="s">
        <v>77</v>
      </c>
      <c r="AE960" s="7">
        <v>629</v>
      </c>
      <c r="AF960" s="6">
        <v>667</v>
      </c>
      <c r="AG960" s="10">
        <v>9.9</v>
      </c>
      <c r="AH960" s="48" t="s">
        <v>216</v>
      </c>
    </row>
    <row r="961" ht="13.9" spans="1:34">
      <c r="A961" s="6" t="s">
        <v>202</v>
      </c>
      <c r="B961" s="7">
        <v>0</v>
      </c>
      <c r="C961" s="6">
        <v>0</v>
      </c>
      <c r="D961" s="6">
        <v>0.22</v>
      </c>
      <c r="E961" s="6">
        <v>0</v>
      </c>
      <c r="F961" s="6">
        <v>2.49</v>
      </c>
      <c r="G961" s="6">
        <v>0</v>
      </c>
      <c r="H961" s="6">
        <v>7.11</v>
      </c>
      <c r="I961" s="6">
        <v>0</v>
      </c>
      <c r="J961" s="6">
        <v>0</v>
      </c>
      <c r="K961" s="6">
        <v>0.4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0.22</v>
      </c>
      <c r="T961" s="8">
        <f t="shared" si="33"/>
        <v>89.56</v>
      </c>
      <c r="U961" s="7">
        <v>470</v>
      </c>
      <c r="V961" s="6">
        <v>120</v>
      </c>
      <c r="W961" s="6">
        <v>24</v>
      </c>
      <c r="X961" s="6" t="s">
        <v>42</v>
      </c>
      <c r="Y961" s="6" t="s">
        <v>73</v>
      </c>
      <c r="Z961" s="6" t="s">
        <v>37</v>
      </c>
      <c r="AA961" s="6" t="s">
        <v>74</v>
      </c>
      <c r="AB961" s="6" t="s">
        <v>37</v>
      </c>
      <c r="AC961" s="6" t="s">
        <v>43</v>
      </c>
      <c r="AD961" s="26" t="s">
        <v>81</v>
      </c>
      <c r="AE961" s="7">
        <v>627</v>
      </c>
      <c r="AF961" s="6">
        <v>667</v>
      </c>
      <c r="AG961" s="10">
        <v>8.3</v>
      </c>
      <c r="AH961" s="48" t="s">
        <v>216</v>
      </c>
    </row>
    <row r="962" ht="13.9" spans="1:34">
      <c r="A962" s="6" t="s">
        <v>202</v>
      </c>
      <c r="B962" s="7">
        <v>0</v>
      </c>
      <c r="C962" s="6">
        <v>0</v>
      </c>
      <c r="D962" s="6">
        <v>0.21</v>
      </c>
      <c r="E962" s="6">
        <v>0</v>
      </c>
      <c r="F962" s="6">
        <v>2.6</v>
      </c>
      <c r="G962" s="6">
        <v>0</v>
      </c>
      <c r="H962" s="6">
        <v>6.84</v>
      </c>
      <c r="I962" s="6">
        <v>0</v>
      </c>
      <c r="J962" s="6">
        <v>0</v>
      </c>
      <c r="K962" s="6">
        <v>0.18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0.37</v>
      </c>
      <c r="T962" s="8">
        <f t="shared" si="33"/>
        <v>89.8</v>
      </c>
      <c r="U962" s="7">
        <v>470</v>
      </c>
      <c r="V962" s="6">
        <v>120</v>
      </c>
      <c r="W962" s="6">
        <v>32</v>
      </c>
      <c r="X962" s="6" t="s">
        <v>42</v>
      </c>
      <c r="Y962" s="6" t="s">
        <v>73</v>
      </c>
      <c r="Z962" s="6" t="s">
        <v>37</v>
      </c>
      <c r="AA962" s="6" t="s">
        <v>74</v>
      </c>
      <c r="AB962" s="6" t="s">
        <v>37</v>
      </c>
      <c r="AC962" s="6" t="s">
        <v>43</v>
      </c>
      <c r="AD962" s="26" t="s">
        <v>77</v>
      </c>
      <c r="AE962" s="7">
        <v>608</v>
      </c>
      <c r="AF962" s="6">
        <v>650</v>
      </c>
      <c r="AG962" s="10">
        <v>8.4</v>
      </c>
      <c r="AH962" s="48" t="s">
        <v>216</v>
      </c>
    </row>
    <row r="963" ht="13.9" spans="1:34">
      <c r="A963" s="6" t="s">
        <v>202</v>
      </c>
      <c r="B963" s="7">
        <v>0</v>
      </c>
      <c r="C963" s="6">
        <v>0</v>
      </c>
      <c r="D963" s="6">
        <v>0.19</v>
      </c>
      <c r="E963" s="6">
        <v>0</v>
      </c>
      <c r="F963" s="6">
        <v>2.55</v>
      </c>
      <c r="G963" s="6">
        <v>0</v>
      </c>
      <c r="H963" s="6">
        <v>6.98</v>
      </c>
      <c r="I963" s="6">
        <v>0</v>
      </c>
      <c r="J963" s="6">
        <v>0</v>
      </c>
      <c r="K963" s="6">
        <v>0.29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0.27</v>
      </c>
      <c r="T963" s="8">
        <f t="shared" si="33"/>
        <v>89.72</v>
      </c>
      <c r="U963" s="7">
        <v>470</v>
      </c>
      <c r="V963" s="6">
        <v>120</v>
      </c>
      <c r="W963" s="6">
        <v>24</v>
      </c>
      <c r="X963" s="6" t="s">
        <v>42</v>
      </c>
      <c r="Y963" s="6" t="s">
        <v>73</v>
      </c>
      <c r="Z963" s="6" t="s">
        <v>37</v>
      </c>
      <c r="AA963" s="6" t="s">
        <v>74</v>
      </c>
      <c r="AB963" s="6" t="s">
        <v>37</v>
      </c>
      <c r="AC963" s="6" t="s">
        <v>43</v>
      </c>
      <c r="AD963" s="26" t="s">
        <v>77</v>
      </c>
      <c r="AE963" s="7">
        <v>599</v>
      </c>
      <c r="AF963" s="6">
        <v>643</v>
      </c>
      <c r="AG963" s="10">
        <v>9</v>
      </c>
      <c r="AH963" s="48" t="s">
        <v>216</v>
      </c>
    </row>
    <row r="964" ht="13.9" spans="1:34">
      <c r="A964" s="6" t="s">
        <v>202</v>
      </c>
      <c r="B964" s="7">
        <v>0</v>
      </c>
      <c r="C964" s="6">
        <v>0</v>
      </c>
      <c r="D964" s="6">
        <v>0.17</v>
      </c>
      <c r="E964" s="6">
        <v>0</v>
      </c>
      <c r="F964" s="6">
        <v>2.58</v>
      </c>
      <c r="G964" s="6">
        <v>0</v>
      </c>
      <c r="H964" s="6">
        <v>6.94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0.48</v>
      </c>
      <c r="T964" s="8">
        <f t="shared" si="33"/>
        <v>89.83</v>
      </c>
      <c r="U964" s="7">
        <v>470</v>
      </c>
      <c r="V964" s="6">
        <v>120</v>
      </c>
      <c r="W964" s="6">
        <v>24</v>
      </c>
      <c r="X964" s="6" t="s">
        <v>42</v>
      </c>
      <c r="Y964" s="6" t="s">
        <v>73</v>
      </c>
      <c r="Z964" s="6" t="s">
        <v>37</v>
      </c>
      <c r="AA964" s="6" t="s">
        <v>74</v>
      </c>
      <c r="AB964" s="6" t="s">
        <v>37</v>
      </c>
      <c r="AC964" s="6" t="s">
        <v>43</v>
      </c>
      <c r="AD964" s="26" t="s">
        <v>77</v>
      </c>
      <c r="AE964" s="7">
        <v>594</v>
      </c>
      <c r="AF964" s="6">
        <v>641</v>
      </c>
      <c r="AG964" s="10">
        <v>7.9</v>
      </c>
      <c r="AH964" s="48" t="s">
        <v>216</v>
      </c>
    </row>
    <row r="965" ht="13.9" spans="1:34">
      <c r="A965" s="6" t="s">
        <v>202</v>
      </c>
      <c r="B965" s="7">
        <v>0</v>
      </c>
      <c r="C965" s="6">
        <v>0</v>
      </c>
      <c r="D965" s="6">
        <v>0.17</v>
      </c>
      <c r="E965" s="6">
        <v>0</v>
      </c>
      <c r="F965" s="6">
        <v>2.58</v>
      </c>
      <c r="G965" s="6">
        <v>0</v>
      </c>
      <c r="H965" s="6">
        <v>6.94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0.48</v>
      </c>
      <c r="T965" s="8">
        <f t="shared" si="33"/>
        <v>89.83</v>
      </c>
      <c r="U965" s="7">
        <v>470</v>
      </c>
      <c r="V965" s="6">
        <v>120</v>
      </c>
      <c r="W965" s="6">
        <v>32</v>
      </c>
      <c r="X965" s="6" t="s">
        <v>42</v>
      </c>
      <c r="Y965" s="6" t="s">
        <v>73</v>
      </c>
      <c r="Z965" s="6" t="s">
        <v>37</v>
      </c>
      <c r="AA965" s="6" t="s">
        <v>74</v>
      </c>
      <c r="AB965" s="6" t="s">
        <v>37</v>
      </c>
      <c r="AC965" s="6" t="s">
        <v>43</v>
      </c>
      <c r="AD965" s="26" t="s">
        <v>77</v>
      </c>
      <c r="AE965" s="7">
        <v>604</v>
      </c>
      <c r="AF965" s="6">
        <v>638</v>
      </c>
      <c r="AG965" s="10">
        <v>8.3</v>
      </c>
      <c r="AH965" s="48" t="s">
        <v>216</v>
      </c>
    </row>
    <row r="966" ht="13.9" spans="1:34">
      <c r="A966" s="6" t="s">
        <v>202</v>
      </c>
      <c r="B966" s="7">
        <v>0</v>
      </c>
      <c r="C966" s="6">
        <v>0</v>
      </c>
      <c r="D966" s="6">
        <v>0.19</v>
      </c>
      <c r="E966" s="6">
        <v>0</v>
      </c>
      <c r="F966" s="6">
        <v>2.55</v>
      </c>
      <c r="G966" s="6">
        <v>0</v>
      </c>
      <c r="H966" s="6">
        <v>6.98</v>
      </c>
      <c r="I966" s="6">
        <v>0</v>
      </c>
      <c r="J966" s="6">
        <v>0</v>
      </c>
      <c r="K966" s="6">
        <v>0.29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0.27</v>
      </c>
      <c r="T966" s="8">
        <f t="shared" si="33"/>
        <v>89.72</v>
      </c>
      <c r="U966" s="7">
        <v>470</v>
      </c>
      <c r="V966" s="6">
        <v>120</v>
      </c>
      <c r="W966" s="6">
        <v>32</v>
      </c>
      <c r="X966" s="6" t="s">
        <v>42</v>
      </c>
      <c r="Y966" s="6" t="s">
        <v>73</v>
      </c>
      <c r="Z966" s="6" t="s">
        <v>37</v>
      </c>
      <c r="AA966" s="6" t="s">
        <v>74</v>
      </c>
      <c r="AB966" s="6" t="s">
        <v>37</v>
      </c>
      <c r="AC966" s="6" t="s">
        <v>43</v>
      </c>
      <c r="AD966" s="26" t="s">
        <v>77</v>
      </c>
      <c r="AE966" s="7">
        <v>597</v>
      </c>
      <c r="AF966" s="6">
        <v>632</v>
      </c>
      <c r="AG966" s="10">
        <v>8.6</v>
      </c>
      <c r="AH966" s="48" t="s">
        <v>216</v>
      </c>
    </row>
    <row r="967" ht="13.9" spans="1:34">
      <c r="A967" s="6" t="s">
        <v>202</v>
      </c>
      <c r="B967" s="7">
        <v>0</v>
      </c>
      <c r="C967" s="6">
        <v>0</v>
      </c>
      <c r="D967" s="6">
        <v>0.21</v>
      </c>
      <c r="E967" s="6">
        <v>0</v>
      </c>
      <c r="F967" s="6">
        <v>2.6</v>
      </c>
      <c r="G967" s="6">
        <v>0</v>
      </c>
      <c r="H967" s="6">
        <v>6.84</v>
      </c>
      <c r="I967" s="6">
        <v>0</v>
      </c>
      <c r="J967" s="6">
        <v>0</v>
      </c>
      <c r="K967" s="6">
        <v>0.18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0.37</v>
      </c>
      <c r="T967" s="8">
        <f t="shared" si="33"/>
        <v>89.8</v>
      </c>
      <c r="U967" s="7">
        <v>470</v>
      </c>
      <c r="V967" s="6">
        <v>120</v>
      </c>
      <c r="W967" s="6">
        <v>24</v>
      </c>
      <c r="X967" s="6" t="s">
        <v>42</v>
      </c>
      <c r="Y967" s="6" t="s">
        <v>73</v>
      </c>
      <c r="Z967" s="6" t="s">
        <v>37</v>
      </c>
      <c r="AA967" s="6" t="s">
        <v>74</v>
      </c>
      <c r="AB967" s="6" t="s">
        <v>37</v>
      </c>
      <c r="AC967" s="6" t="s">
        <v>43</v>
      </c>
      <c r="AD967" s="26" t="s">
        <v>77</v>
      </c>
      <c r="AE967" s="7">
        <v>573</v>
      </c>
      <c r="AF967" s="6">
        <v>616</v>
      </c>
      <c r="AG967" s="10">
        <v>11</v>
      </c>
      <c r="AH967" s="48" t="s">
        <v>216</v>
      </c>
    </row>
    <row r="968" ht="13.9" spans="1:34">
      <c r="A968" s="6" t="s">
        <v>202</v>
      </c>
      <c r="B968" s="7">
        <v>0.08</v>
      </c>
      <c r="C968" s="6">
        <v>0.16</v>
      </c>
      <c r="D968" s="6">
        <v>0.34</v>
      </c>
      <c r="E968" s="6">
        <v>0.33</v>
      </c>
      <c r="F968" s="6">
        <v>1.91</v>
      </c>
      <c r="G968" s="6">
        <v>0</v>
      </c>
      <c r="H968" s="6">
        <v>5.39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8">
        <v>91.79</v>
      </c>
      <c r="U968" s="7">
        <v>470</v>
      </c>
      <c r="V968" s="6">
        <v>120</v>
      </c>
      <c r="W968" s="6">
        <v>24</v>
      </c>
      <c r="X968" s="6" t="s">
        <v>42</v>
      </c>
      <c r="Y968" s="6" t="s">
        <v>73</v>
      </c>
      <c r="Z968" s="6" t="s">
        <v>37</v>
      </c>
      <c r="AA968" s="6" t="s">
        <v>74</v>
      </c>
      <c r="AB968" s="6" t="s">
        <v>37</v>
      </c>
      <c r="AC968" s="6" t="s">
        <v>43</v>
      </c>
      <c r="AD968" s="26" t="s">
        <v>77</v>
      </c>
      <c r="AE968" s="7">
        <v>439</v>
      </c>
      <c r="AF968" s="6">
        <v>498</v>
      </c>
      <c r="AG968" s="10">
        <v>16.5</v>
      </c>
      <c r="AH968" s="48" t="s">
        <v>216</v>
      </c>
    </row>
    <row r="969" ht="13.9" spans="1:34">
      <c r="A969" s="6" t="s">
        <v>202</v>
      </c>
      <c r="B969" s="7">
        <v>0</v>
      </c>
      <c r="C969" s="6">
        <v>0</v>
      </c>
      <c r="D969" s="6">
        <v>0.22</v>
      </c>
      <c r="E969" s="6">
        <v>0</v>
      </c>
      <c r="F969" s="6">
        <v>2.49</v>
      </c>
      <c r="G969" s="6">
        <v>0</v>
      </c>
      <c r="H969" s="6">
        <v>7.11</v>
      </c>
      <c r="I969" s="6">
        <v>0</v>
      </c>
      <c r="J969" s="6">
        <v>0</v>
      </c>
      <c r="K969" s="6">
        <v>0.4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0.22</v>
      </c>
      <c r="T969" s="8">
        <f t="shared" ref="T969:T978" si="34">100-SUM(B969:S969)</f>
        <v>89.56</v>
      </c>
      <c r="U969" s="7">
        <v>470</v>
      </c>
      <c r="V969" s="6">
        <v>25</v>
      </c>
      <c r="W969" s="6">
        <v>0</v>
      </c>
      <c r="X969" s="6" t="s">
        <v>42</v>
      </c>
      <c r="Y969" s="6" t="s">
        <v>73</v>
      </c>
      <c r="Z969" s="6" t="s">
        <v>37</v>
      </c>
      <c r="AA969" s="6" t="s">
        <v>80</v>
      </c>
      <c r="AB969" s="6" t="s">
        <v>37</v>
      </c>
      <c r="AC969" s="6" t="s">
        <v>43</v>
      </c>
      <c r="AD969" s="26" t="s">
        <v>86</v>
      </c>
      <c r="AE969" s="7">
        <v>319</v>
      </c>
      <c r="AF969" s="6">
        <v>489</v>
      </c>
      <c r="AG969" s="10">
        <v>19.2</v>
      </c>
      <c r="AH969" s="48" t="s">
        <v>216</v>
      </c>
    </row>
    <row r="970" ht="13.9" spans="1:34">
      <c r="A970" s="6" t="s">
        <v>202</v>
      </c>
      <c r="B970" s="7">
        <v>0</v>
      </c>
      <c r="C970" s="6">
        <v>0</v>
      </c>
      <c r="D970" s="6">
        <v>0.21</v>
      </c>
      <c r="E970" s="6">
        <v>0</v>
      </c>
      <c r="F970" s="6">
        <v>2.6</v>
      </c>
      <c r="G970" s="6">
        <v>0</v>
      </c>
      <c r="H970" s="6">
        <v>6.84</v>
      </c>
      <c r="I970" s="6">
        <v>0</v>
      </c>
      <c r="J970" s="6">
        <v>0</v>
      </c>
      <c r="K970" s="6">
        <v>0.18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0.37</v>
      </c>
      <c r="T970" s="8">
        <f t="shared" si="34"/>
        <v>89.8</v>
      </c>
      <c r="U970" s="7">
        <v>470</v>
      </c>
      <c r="V970" s="6">
        <v>25</v>
      </c>
      <c r="W970" s="6">
        <v>0</v>
      </c>
      <c r="X970" s="6" t="s">
        <v>42</v>
      </c>
      <c r="Y970" s="6" t="s">
        <v>73</v>
      </c>
      <c r="Z970" s="6" t="s">
        <v>37</v>
      </c>
      <c r="AA970" s="6" t="s">
        <v>80</v>
      </c>
      <c r="AB970" s="6" t="s">
        <v>37</v>
      </c>
      <c r="AC970" s="6" t="s">
        <v>43</v>
      </c>
      <c r="AD970" s="26" t="s">
        <v>86</v>
      </c>
      <c r="AE970" s="7">
        <v>307</v>
      </c>
      <c r="AF970" s="6">
        <v>478</v>
      </c>
      <c r="AG970" s="10">
        <v>15.9</v>
      </c>
      <c r="AH970" s="48" t="s">
        <v>216</v>
      </c>
    </row>
    <row r="971" ht="13.9" spans="1:34">
      <c r="A971" s="6" t="s">
        <v>202</v>
      </c>
      <c r="B971" s="7">
        <v>0</v>
      </c>
      <c r="C971" s="6">
        <v>0</v>
      </c>
      <c r="D971" s="6">
        <v>0.19</v>
      </c>
      <c r="E971" s="6">
        <v>0</v>
      </c>
      <c r="F971" s="6">
        <v>2.55</v>
      </c>
      <c r="G971" s="6">
        <v>0</v>
      </c>
      <c r="H971" s="6">
        <v>6.98</v>
      </c>
      <c r="I971" s="6">
        <v>0</v>
      </c>
      <c r="J971" s="6">
        <v>0</v>
      </c>
      <c r="K971" s="6">
        <v>0.29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0.27</v>
      </c>
      <c r="T971" s="8">
        <f t="shared" si="34"/>
        <v>89.72</v>
      </c>
      <c r="U971" s="7">
        <v>470</v>
      </c>
      <c r="V971" s="6">
        <v>25</v>
      </c>
      <c r="W971" s="6">
        <v>0</v>
      </c>
      <c r="X971" s="6" t="s">
        <v>42</v>
      </c>
      <c r="Y971" s="6" t="s">
        <v>73</v>
      </c>
      <c r="Z971" s="6" t="s">
        <v>37</v>
      </c>
      <c r="AA971" s="6" t="s">
        <v>80</v>
      </c>
      <c r="AB971" s="6" t="s">
        <v>37</v>
      </c>
      <c r="AC971" s="6" t="s">
        <v>43</v>
      </c>
      <c r="AD971" s="26" t="s">
        <v>86</v>
      </c>
      <c r="AE971" s="7">
        <v>311</v>
      </c>
      <c r="AF971" s="6">
        <v>468</v>
      </c>
      <c r="AG971" s="10">
        <v>17.2</v>
      </c>
      <c r="AH971" s="48" t="s">
        <v>216</v>
      </c>
    </row>
    <row r="972" ht="13.9" spans="1:34">
      <c r="A972" s="6" t="s">
        <v>202</v>
      </c>
      <c r="B972" s="7">
        <v>0</v>
      </c>
      <c r="C972" s="6">
        <v>0</v>
      </c>
      <c r="D972" s="6">
        <v>0.17</v>
      </c>
      <c r="E972" s="6">
        <v>0</v>
      </c>
      <c r="F972" s="6">
        <v>2.58</v>
      </c>
      <c r="G972" s="6">
        <v>0</v>
      </c>
      <c r="H972" s="6">
        <v>6.94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0.48</v>
      </c>
      <c r="T972" s="8">
        <f t="shared" si="34"/>
        <v>89.83</v>
      </c>
      <c r="U972" s="7">
        <v>470</v>
      </c>
      <c r="V972" s="6">
        <v>25</v>
      </c>
      <c r="W972" s="6">
        <v>0</v>
      </c>
      <c r="X972" s="6" t="s">
        <v>42</v>
      </c>
      <c r="Y972" s="6" t="s">
        <v>73</v>
      </c>
      <c r="Z972" s="6" t="s">
        <v>37</v>
      </c>
      <c r="AA972" s="6" t="s">
        <v>80</v>
      </c>
      <c r="AB972" s="6" t="s">
        <v>37</v>
      </c>
      <c r="AC972" s="6" t="s">
        <v>43</v>
      </c>
      <c r="AD972" s="26" t="s">
        <v>86</v>
      </c>
      <c r="AE972" s="7">
        <v>294</v>
      </c>
      <c r="AF972" s="6">
        <v>445</v>
      </c>
      <c r="AG972" s="10">
        <v>19.3</v>
      </c>
      <c r="AH972" s="48" t="s">
        <v>216</v>
      </c>
    </row>
    <row r="973" ht="13.9" spans="1:34">
      <c r="A973" s="6" t="s">
        <v>202</v>
      </c>
      <c r="B973" s="7">
        <v>0</v>
      </c>
      <c r="C973" s="6">
        <v>0</v>
      </c>
      <c r="D973" s="6">
        <v>3.7</v>
      </c>
      <c r="E973" s="6">
        <v>0.3</v>
      </c>
      <c r="F973" s="6">
        <v>0.37</v>
      </c>
      <c r="G973" s="6">
        <v>0</v>
      </c>
      <c r="H973" s="6">
        <v>0.5</v>
      </c>
      <c r="I973" s="6">
        <v>0</v>
      </c>
      <c r="J973" s="6">
        <v>0</v>
      </c>
      <c r="K973" s="6">
        <v>0.14</v>
      </c>
      <c r="L973" s="6">
        <v>1.5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8">
        <f t="shared" si="34"/>
        <v>93.49</v>
      </c>
      <c r="U973" s="7">
        <v>520</v>
      </c>
      <c r="V973" s="6">
        <v>135</v>
      </c>
      <c r="W973" s="6">
        <v>60</v>
      </c>
      <c r="X973" s="6" t="s">
        <v>42</v>
      </c>
      <c r="Y973" s="6" t="s">
        <v>73</v>
      </c>
      <c r="Z973" s="6" t="s">
        <v>84</v>
      </c>
      <c r="AA973" s="6" t="s">
        <v>74</v>
      </c>
      <c r="AB973" s="6" t="s">
        <v>37</v>
      </c>
      <c r="AC973" s="6" t="s">
        <v>43</v>
      </c>
      <c r="AD973" s="26" t="s">
        <v>90</v>
      </c>
      <c r="AE973" s="7">
        <v>539</v>
      </c>
      <c r="AF973" s="6">
        <v>567</v>
      </c>
      <c r="AG973" s="10">
        <v>10.8</v>
      </c>
      <c r="AH973" s="48" t="s">
        <v>217</v>
      </c>
    </row>
    <row r="974" ht="13.9" spans="1:34">
      <c r="A974" s="6" t="s">
        <v>202</v>
      </c>
      <c r="B974" s="7">
        <v>0</v>
      </c>
      <c r="C974" s="6">
        <v>0</v>
      </c>
      <c r="D974" s="6">
        <v>3.7</v>
      </c>
      <c r="E974" s="6">
        <v>0.3</v>
      </c>
      <c r="F974" s="6">
        <v>0.37</v>
      </c>
      <c r="G974" s="6">
        <v>0</v>
      </c>
      <c r="H974" s="6">
        <v>0.5</v>
      </c>
      <c r="I974" s="6">
        <v>0</v>
      </c>
      <c r="J974" s="6">
        <v>0</v>
      </c>
      <c r="K974" s="6">
        <v>0.14</v>
      </c>
      <c r="L974" s="6">
        <v>1.5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8">
        <f t="shared" si="34"/>
        <v>93.49</v>
      </c>
      <c r="U974" s="7">
        <v>520</v>
      </c>
      <c r="V974" s="6">
        <v>165</v>
      </c>
      <c r="W974" s="6">
        <v>60</v>
      </c>
      <c r="X974" s="6" t="s">
        <v>42</v>
      </c>
      <c r="Y974" s="6" t="s">
        <v>73</v>
      </c>
      <c r="Z974" s="6" t="s">
        <v>37</v>
      </c>
      <c r="AA974" s="6" t="s">
        <v>74</v>
      </c>
      <c r="AB974" s="6" t="s">
        <v>37</v>
      </c>
      <c r="AC974" s="6" t="s">
        <v>43</v>
      </c>
      <c r="AD974" s="26" t="s">
        <v>77</v>
      </c>
      <c r="AE974" s="7">
        <v>453</v>
      </c>
      <c r="AF974" s="6">
        <v>493</v>
      </c>
      <c r="AG974" s="10">
        <v>12.5</v>
      </c>
      <c r="AH974" s="48" t="s">
        <v>217</v>
      </c>
    </row>
    <row r="975" ht="13.9" spans="1:34">
      <c r="A975" s="6" t="s">
        <v>202</v>
      </c>
      <c r="B975" s="7">
        <v>0</v>
      </c>
      <c r="C975" s="6">
        <v>0</v>
      </c>
      <c r="D975" s="6">
        <v>3.7</v>
      </c>
      <c r="E975" s="6">
        <v>0.3</v>
      </c>
      <c r="F975" s="6">
        <v>0.37</v>
      </c>
      <c r="G975" s="6">
        <v>0</v>
      </c>
      <c r="H975" s="6">
        <v>0.5</v>
      </c>
      <c r="I975" s="6">
        <v>0</v>
      </c>
      <c r="J975" s="6">
        <v>0</v>
      </c>
      <c r="K975" s="6">
        <v>0.14</v>
      </c>
      <c r="L975" s="6">
        <v>1.5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8">
        <f t="shared" si="34"/>
        <v>93.49</v>
      </c>
      <c r="U975" s="7">
        <v>520</v>
      </c>
      <c r="V975" s="6">
        <v>180</v>
      </c>
      <c r="W975" s="6">
        <v>20</v>
      </c>
      <c r="X975" s="6" t="s">
        <v>42</v>
      </c>
      <c r="Y975" s="6" t="s">
        <v>73</v>
      </c>
      <c r="Z975" s="6" t="s">
        <v>37</v>
      </c>
      <c r="AA975" s="6" t="s">
        <v>74</v>
      </c>
      <c r="AB975" s="6" t="s">
        <v>37</v>
      </c>
      <c r="AC975" s="6" t="s">
        <v>59</v>
      </c>
      <c r="AD975" s="26" t="s">
        <v>77</v>
      </c>
      <c r="AE975" s="7">
        <v>448</v>
      </c>
      <c r="AF975" s="6">
        <v>511</v>
      </c>
      <c r="AG975" s="10">
        <v>5.5</v>
      </c>
      <c r="AH975" s="48" t="s">
        <v>218</v>
      </c>
    </row>
    <row r="976" ht="13.9" spans="1:34">
      <c r="A976" s="6" t="s">
        <v>202</v>
      </c>
      <c r="B976" s="7">
        <v>0</v>
      </c>
      <c r="C976" s="6">
        <v>0</v>
      </c>
      <c r="D976" s="6">
        <v>3.7</v>
      </c>
      <c r="E976" s="6">
        <v>0.3</v>
      </c>
      <c r="F976" s="6">
        <v>0.37</v>
      </c>
      <c r="G976" s="6">
        <v>0</v>
      </c>
      <c r="H976" s="6">
        <v>0.5</v>
      </c>
      <c r="I976" s="6">
        <v>0</v>
      </c>
      <c r="J976" s="6">
        <v>0</v>
      </c>
      <c r="K976" s="6">
        <v>0.14</v>
      </c>
      <c r="L976" s="6">
        <v>1.5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8">
        <f t="shared" si="34"/>
        <v>93.49</v>
      </c>
      <c r="U976" s="7">
        <v>520</v>
      </c>
      <c r="V976" s="6">
        <v>180</v>
      </c>
      <c r="W976" s="6">
        <v>15</v>
      </c>
      <c r="X976" s="6" t="s">
        <v>42</v>
      </c>
      <c r="Y976" s="6" t="s">
        <v>73</v>
      </c>
      <c r="Z976" s="6" t="s">
        <v>37</v>
      </c>
      <c r="AA976" s="6" t="s">
        <v>74</v>
      </c>
      <c r="AB976" s="6" t="s">
        <v>37</v>
      </c>
      <c r="AC976" s="6" t="s">
        <v>59</v>
      </c>
      <c r="AD976" s="26" t="s">
        <v>77</v>
      </c>
      <c r="AE976" s="7">
        <v>442</v>
      </c>
      <c r="AF976" s="6">
        <v>506</v>
      </c>
      <c r="AG976" s="10">
        <v>5.8</v>
      </c>
      <c r="AH976" s="48" t="s">
        <v>218</v>
      </c>
    </row>
    <row r="977" ht="13.9" spans="1:34">
      <c r="A977" s="6" t="s">
        <v>202</v>
      </c>
      <c r="B977" s="7">
        <v>0</v>
      </c>
      <c r="C977" s="6">
        <v>0</v>
      </c>
      <c r="D977" s="6">
        <v>3.7</v>
      </c>
      <c r="E977" s="6">
        <v>0.3</v>
      </c>
      <c r="F977" s="6">
        <v>0.37</v>
      </c>
      <c r="G977" s="6">
        <v>0</v>
      </c>
      <c r="H977" s="6">
        <v>0.5</v>
      </c>
      <c r="I977" s="6">
        <v>0</v>
      </c>
      <c r="J977" s="6">
        <v>0</v>
      </c>
      <c r="K977" s="6">
        <v>0.14</v>
      </c>
      <c r="L977" s="6">
        <v>1.5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8">
        <f t="shared" si="34"/>
        <v>93.49</v>
      </c>
      <c r="U977" s="7">
        <v>520</v>
      </c>
      <c r="V977" s="6">
        <v>180</v>
      </c>
      <c r="W977" s="6">
        <v>10</v>
      </c>
      <c r="X977" s="6" t="s">
        <v>42</v>
      </c>
      <c r="Y977" s="6" t="s">
        <v>73</v>
      </c>
      <c r="Z977" s="6" t="s">
        <v>37</v>
      </c>
      <c r="AA977" s="6" t="s">
        <v>74</v>
      </c>
      <c r="AB977" s="6" t="s">
        <v>37</v>
      </c>
      <c r="AC977" s="6" t="s">
        <v>59</v>
      </c>
      <c r="AD977" s="26" t="s">
        <v>77</v>
      </c>
      <c r="AE977" s="7">
        <v>424</v>
      </c>
      <c r="AF977" s="6">
        <v>489</v>
      </c>
      <c r="AG977" s="10">
        <v>6.8</v>
      </c>
      <c r="AH977" s="48" t="s">
        <v>218</v>
      </c>
    </row>
    <row r="978" ht="13.9" spans="1:34">
      <c r="A978" s="6" t="s">
        <v>202</v>
      </c>
      <c r="B978" s="7">
        <v>0</v>
      </c>
      <c r="C978" s="6">
        <v>0</v>
      </c>
      <c r="D978" s="6">
        <v>3.7</v>
      </c>
      <c r="E978" s="6">
        <v>0.3</v>
      </c>
      <c r="F978" s="6">
        <v>0.37</v>
      </c>
      <c r="G978" s="6">
        <v>0</v>
      </c>
      <c r="H978" s="6">
        <v>0.5</v>
      </c>
      <c r="I978" s="6">
        <v>0</v>
      </c>
      <c r="J978" s="6">
        <v>0</v>
      </c>
      <c r="K978" s="6">
        <v>0.14</v>
      </c>
      <c r="L978" s="6">
        <v>1.5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8">
        <f t="shared" si="34"/>
        <v>93.49</v>
      </c>
      <c r="U978" s="7">
        <v>520</v>
      </c>
      <c r="V978" s="6">
        <v>180</v>
      </c>
      <c r="W978" s="6">
        <v>5</v>
      </c>
      <c r="X978" s="6" t="s">
        <v>42</v>
      </c>
      <c r="Y978" s="6" t="s">
        <v>73</v>
      </c>
      <c r="Z978" s="6" t="s">
        <v>37</v>
      </c>
      <c r="AA978" s="6" t="s">
        <v>74</v>
      </c>
      <c r="AB978" s="6" t="s">
        <v>37</v>
      </c>
      <c r="AC978" s="6" t="s">
        <v>59</v>
      </c>
      <c r="AD978" s="26" t="s">
        <v>77</v>
      </c>
      <c r="AE978" s="7">
        <v>373</v>
      </c>
      <c r="AF978" s="6">
        <v>470</v>
      </c>
      <c r="AG978" s="10">
        <v>9.5</v>
      </c>
      <c r="AH978" s="48" t="s">
        <v>218</v>
      </c>
    </row>
    <row r="979" ht="13.9" spans="1:34">
      <c r="A979" s="6" t="s">
        <v>202</v>
      </c>
      <c r="B979" s="7">
        <v>0</v>
      </c>
      <c r="C979" s="6">
        <v>0</v>
      </c>
      <c r="D979" s="6">
        <v>2.58</v>
      </c>
      <c r="E979" s="6">
        <v>0.35</v>
      </c>
      <c r="F979" s="6">
        <v>0.32</v>
      </c>
      <c r="G979" s="6">
        <v>0</v>
      </c>
      <c r="H979" s="6">
        <v>0.67</v>
      </c>
      <c r="I979" s="6">
        <v>0</v>
      </c>
      <c r="J979" s="6">
        <v>0</v>
      </c>
      <c r="K979" s="6">
        <v>0</v>
      </c>
      <c r="L979" s="6">
        <v>1.64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8">
        <v>94.44</v>
      </c>
      <c r="U979" s="7">
        <v>540</v>
      </c>
      <c r="V979" s="6">
        <v>175</v>
      </c>
      <c r="W979" s="6">
        <v>32</v>
      </c>
      <c r="X979" s="6" t="s">
        <v>44</v>
      </c>
      <c r="Y979" s="6" t="s">
        <v>73</v>
      </c>
      <c r="Z979" s="6" t="s">
        <v>37</v>
      </c>
      <c r="AA979" s="6" t="s">
        <v>74</v>
      </c>
      <c r="AB979" s="6" t="s">
        <v>37</v>
      </c>
      <c r="AC979" s="6" t="s">
        <v>69</v>
      </c>
      <c r="AD979" s="26" t="s">
        <v>77</v>
      </c>
      <c r="AE979" s="7">
        <v>505.9</v>
      </c>
      <c r="AF979" s="6" t="s">
        <v>40</v>
      </c>
      <c r="AG979" s="6">
        <v>5.8</v>
      </c>
      <c r="AH979" s="11" t="s">
        <v>219</v>
      </c>
    </row>
    <row r="980" ht="13.9" spans="1:34">
      <c r="A980" s="6" t="s">
        <v>202</v>
      </c>
      <c r="B980" s="7">
        <v>0</v>
      </c>
      <c r="C980" s="6">
        <v>0</v>
      </c>
      <c r="D980" s="6">
        <v>2.58</v>
      </c>
      <c r="E980" s="6">
        <v>0.35</v>
      </c>
      <c r="F980" s="6">
        <v>0.32</v>
      </c>
      <c r="G980" s="6">
        <v>0</v>
      </c>
      <c r="H980" s="6">
        <v>0.67</v>
      </c>
      <c r="I980" s="6">
        <v>0</v>
      </c>
      <c r="J980" s="6">
        <v>0</v>
      </c>
      <c r="K980" s="6">
        <v>0</v>
      </c>
      <c r="L980" s="6">
        <v>1.64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8">
        <v>94.44</v>
      </c>
      <c r="U980" s="7">
        <v>540</v>
      </c>
      <c r="V980" s="6">
        <v>150</v>
      </c>
      <c r="W980" s="6">
        <v>44</v>
      </c>
      <c r="X980" s="6" t="s">
        <v>44</v>
      </c>
      <c r="Y980" s="6" t="s">
        <v>73</v>
      </c>
      <c r="Z980" s="6" t="s">
        <v>79</v>
      </c>
      <c r="AA980" s="6" t="s">
        <v>74</v>
      </c>
      <c r="AB980" s="6" t="s">
        <v>37</v>
      </c>
      <c r="AC980" s="6" t="s">
        <v>69</v>
      </c>
      <c r="AD980" s="26" t="s">
        <v>83</v>
      </c>
      <c r="AE980" s="7">
        <v>589.5</v>
      </c>
      <c r="AF980" s="6" t="s">
        <v>40</v>
      </c>
      <c r="AG980" s="6">
        <v>6.9</v>
      </c>
      <c r="AH980" s="11" t="s">
        <v>219</v>
      </c>
    </row>
    <row r="981" ht="13.9" spans="1:34">
      <c r="A981" s="6" t="s">
        <v>202</v>
      </c>
      <c r="B981" s="7">
        <v>0</v>
      </c>
      <c r="C981" s="6">
        <v>0</v>
      </c>
      <c r="D981" s="6">
        <v>2.74</v>
      </c>
      <c r="E981" s="6">
        <v>0.34</v>
      </c>
      <c r="F981" s="6">
        <v>0.32</v>
      </c>
      <c r="G981" s="6">
        <v>0</v>
      </c>
      <c r="H981" s="6">
        <v>0.72</v>
      </c>
      <c r="I981" s="6">
        <v>0</v>
      </c>
      <c r="J981" s="6">
        <v>0.05</v>
      </c>
      <c r="K981" s="6">
        <v>0.1</v>
      </c>
      <c r="L981" s="6">
        <v>1.77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0.0001</v>
      </c>
      <c r="S981" s="6">
        <v>0</v>
      </c>
      <c r="T981" s="8">
        <v>93.9599</v>
      </c>
      <c r="U981" s="7">
        <v>540</v>
      </c>
      <c r="V981" s="6">
        <v>121</v>
      </c>
      <c r="W981" s="6">
        <v>12</v>
      </c>
      <c r="X981" s="6" t="s">
        <v>44</v>
      </c>
      <c r="Y981" s="6" t="s">
        <v>73</v>
      </c>
      <c r="Z981" s="6" t="s">
        <v>84</v>
      </c>
      <c r="AA981" s="6" t="s">
        <v>74</v>
      </c>
      <c r="AB981" s="6" t="s">
        <v>37</v>
      </c>
      <c r="AC981" s="6" t="s">
        <v>69</v>
      </c>
      <c r="AD981" s="26" t="s">
        <v>136</v>
      </c>
      <c r="AE981" s="7">
        <v>369.8</v>
      </c>
      <c r="AF981" s="6">
        <v>439.6</v>
      </c>
      <c r="AG981" s="6">
        <v>12.8</v>
      </c>
      <c r="AH981" s="11" t="s">
        <v>220</v>
      </c>
    </row>
    <row r="982" ht="13.9" spans="1:34">
      <c r="A982" s="6" t="s">
        <v>202</v>
      </c>
      <c r="B982" s="7">
        <v>0</v>
      </c>
      <c r="C982" s="6">
        <v>0</v>
      </c>
      <c r="D982" s="6">
        <v>2.74</v>
      </c>
      <c r="E982" s="6">
        <v>0.34</v>
      </c>
      <c r="F982" s="6">
        <v>0.32</v>
      </c>
      <c r="G982" s="6">
        <v>0</v>
      </c>
      <c r="H982" s="6">
        <v>0.72</v>
      </c>
      <c r="I982" s="6">
        <v>0</v>
      </c>
      <c r="J982" s="6">
        <v>0.05</v>
      </c>
      <c r="K982" s="6">
        <v>0.1</v>
      </c>
      <c r="L982" s="6">
        <v>1.77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0.0001</v>
      </c>
      <c r="S982" s="6">
        <v>0</v>
      </c>
      <c r="T982" s="8">
        <v>93.9599</v>
      </c>
      <c r="U982" s="7">
        <v>540</v>
      </c>
      <c r="V982" s="6">
        <v>121</v>
      </c>
      <c r="W982" s="6">
        <v>4</v>
      </c>
      <c r="X982" s="6" t="s">
        <v>44</v>
      </c>
      <c r="Y982" s="6" t="s">
        <v>73</v>
      </c>
      <c r="Z982" s="6" t="s">
        <v>84</v>
      </c>
      <c r="AA982" s="6" t="s">
        <v>74</v>
      </c>
      <c r="AB982" s="6" t="s">
        <v>37</v>
      </c>
      <c r="AC982" s="6" t="s">
        <v>69</v>
      </c>
      <c r="AD982" s="26" t="s">
        <v>136</v>
      </c>
      <c r="AE982" s="7">
        <v>332.3</v>
      </c>
      <c r="AF982" s="6">
        <v>408.9</v>
      </c>
      <c r="AG982" s="6">
        <v>15</v>
      </c>
      <c r="AH982" s="11" t="s">
        <v>220</v>
      </c>
    </row>
    <row r="983" ht="13.9" spans="1:34">
      <c r="A983" s="6" t="s">
        <v>202</v>
      </c>
      <c r="B983" s="7">
        <v>0</v>
      </c>
      <c r="C983" s="6">
        <v>0</v>
      </c>
      <c r="D983" s="6">
        <v>2.74</v>
      </c>
      <c r="E983" s="6">
        <v>0.34</v>
      </c>
      <c r="F983" s="6">
        <v>0.32</v>
      </c>
      <c r="G983" s="6">
        <v>0</v>
      </c>
      <c r="H983" s="6">
        <v>0.72</v>
      </c>
      <c r="I983" s="6">
        <v>0</v>
      </c>
      <c r="J983" s="6">
        <v>0.05</v>
      </c>
      <c r="K983" s="6">
        <v>0.1</v>
      </c>
      <c r="L983" s="6">
        <v>1.77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0.0001</v>
      </c>
      <c r="S983" s="6">
        <v>0</v>
      </c>
      <c r="T983" s="8">
        <v>93.9599</v>
      </c>
      <c r="U983" s="7">
        <v>540</v>
      </c>
      <c r="V983" s="6">
        <v>25</v>
      </c>
      <c r="W983" s="6">
        <v>0</v>
      </c>
      <c r="X983" s="6" t="s">
        <v>44</v>
      </c>
      <c r="Y983" s="6" t="s">
        <v>73</v>
      </c>
      <c r="Z983" s="6" t="s">
        <v>84</v>
      </c>
      <c r="AA983" s="6" t="s">
        <v>80</v>
      </c>
      <c r="AB983" s="6" t="s">
        <v>37</v>
      </c>
      <c r="AC983" s="6" t="s">
        <v>69</v>
      </c>
      <c r="AD983" s="26" t="s">
        <v>136</v>
      </c>
      <c r="AE983" s="7">
        <v>312.8</v>
      </c>
      <c r="AF983" s="6">
        <v>379.1</v>
      </c>
      <c r="AG983" s="6">
        <v>18</v>
      </c>
      <c r="AH983" s="52" t="s">
        <v>220</v>
      </c>
    </row>
    <row r="984" s="5" customFormat="1" ht="13.9" spans="1:34">
      <c r="A984" s="6" t="s">
        <v>202</v>
      </c>
      <c r="B984" s="7">
        <v>0</v>
      </c>
      <c r="C984" s="6">
        <v>0</v>
      </c>
      <c r="D984" s="6">
        <v>0.22</v>
      </c>
      <c r="E984" s="6">
        <v>0</v>
      </c>
      <c r="F984" s="6">
        <v>2.49</v>
      </c>
      <c r="G984" s="6">
        <v>0</v>
      </c>
      <c r="H984" s="6">
        <v>7.11</v>
      </c>
      <c r="I984" s="6">
        <v>0</v>
      </c>
      <c r="J984" s="6">
        <v>0</v>
      </c>
      <c r="K984" s="6">
        <v>0.4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0.22</v>
      </c>
      <c r="T984" s="8">
        <v>89.56</v>
      </c>
      <c r="U984" s="7">
        <v>470</v>
      </c>
      <c r="V984" s="6">
        <v>120</v>
      </c>
      <c r="W984" s="6">
        <v>48</v>
      </c>
      <c r="X984" s="6" t="s">
        <v>42</v>
      </c>
      <c r="Y984" s="6" t="s">
        <v>73</v>
      </c>
      <c r="Z984" s="6" t="s">
        <v>37</v>
      </c>
      <c r="AA984" s="6" t="s">
        <v>74</v>
      </c>
      <c r="AB984" s="6" t="s">
        <v>37</v>
      </c>
      <c r="AC984" s="6" t="s">
        <v>43</v>
      </c>
      <c r="AD984" s="26" t="s">
        <v>77</v>
      </c>
      <c r="AE984" s="7">
        <v>620.2</v>
      </c>
      <c r="AF984" s="6">
        <v>653.8</v>
      </c>
      <c r="AG984" s="6">
        <v>8.9</v>
      </c>
      <c r="AH984" s="52" t="s">
        <v>221</v>
      </c>
    </row>
    <row r="985" s="5" customFormat="1" ht="13.9" spans="1:34">
      <c r="A985" s="6" t="s">
        <v>202</v>
      </c>
      <c r="B985" s="7">
        <v>0</v>
      </c>
      <c r="C985" s="6">
        <v>0</v>
      </c>
      <c r="D985" s="6">
        <v>0.19</v>
      </c>
      <c r="E985" s="6">
        <v>0</v>
      </c>
      <c r="F985" s="6">
        <v>2.49</v>
      </c>
      <c r="G985" s="6">
        <v>0</v>
      </c>
      <c r="H985" s="6">
        <v>6.72</v>
      </c>
      <c r="I985" s="6">
        <v>0</v>
      </c>
      <c r="J985" s="6">
        <v>0</v>
      </c>
      <c r="K985" s="6">
        <v>0.16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0.1</v>
      </c>
      <c r="T985" s="8">
        <v>90.34</v>
      </c>
      <c r="U985" s="7">
        <v>470</v>
      </c>
      <c r="V985" s="6">
        <v>120</v>
      </c>
      <c r="W985" s="6">
        <v>24</v>
      </c>
      <c r="X985" s="6" t="s">
        <v>42</v>
      </c>
      <c r="Y985" s="6" t="s">
        <v>73</v>
      </c>
      <c r="Z985" s="6" t="s">
        <v>37</v>
      </c>
      <c r="AA985" s="6" t="s">
        <v>74</v>
      </c>
      <c r="AB985" s="6" t="s">
        <v>37</v>
      </c>
      <c r="AC985" s="6" t="s">
        <v>43</v>
      </c>
      <c r="AD985" s="26" t="s">
        <v>77</v>
      </c>
      <c r="AE985" s="7">
        <v>597.5</v>
      </c>
      <c r="AF985" s="6">
        <v>629.4</v>
      </c>
      <c r="AG985" s="6">
        <v>4.54</v>
      </c>
      <c r="AH985" s="52" t="s">
        <v>221</v>
      </c>
    </row>
    <row r="986" ht="13.9" spans="1:34">
      <c r="A986" s="6" t="s">
        <v>202</v>
      </c>
      <c r="B986" s="7">
        <v>0</v>
      </c>
      <c r="C986" s="6">
        <v>0</v>
      </c>
      <c r="D986" s="6">
        <v>0.19</v>
      </c>
      <c r="E986" s="6">
        <v>0</v>
      </c>
      <c r="F986" s="6">
        <v>2.49</v>
      </c>
      <c r="G986" s="6">
        <v>0</v>
      </c>
      <c r="H986" s="6">
        <v>6.72</v>
      </c>
      <c r="I986" s="6">
        <v>0</v>
      </c>
      <c r="J986" s="6">
        <v>0</v>
      </c>
      <c r="K986" s="6">
        <v>0.16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0.1</v>
      </c>
      <c r="T986" s="8">
        <v>90.34</v>
      </c>
      <c r="U986" s="7">
        <v>470</v>
      </c>
      <c r="V986" s="6">
        <v>120</v>
      </c>
      <c r="W986" s="6">
        <v>48</v>
      </c>
      <c r="X986" s="6" t="s">
        <v>42</v>
      </c>
      <c r="Y986" s="6" t="s">
        <v>73</v>
      </c>
      <c r="Z986" s="6" t="s">
        <v>37</v>
      </c>
      <c r="AA986" s="6" t="s">
        <v>74</v>
      </c>
      <c r="AB986" s="6" t="s">
        <v>37</v>
      </c>
      <c r="AC986" s="6" t="s">
        <v>43</v>
      </c>
      <c r="AD986" s="26" t="s">
        <v>77</v>
      </c>
      <c r="AE986" s="7">
        <v>593.3</v>
      </c>
      <c r="AF986" s="6">
        <v>621.3</v>
      </c>
      <c r="AG986" s="6">
        <v>4.55</v>
      </c>
      <c r="AH986" s="52" t="s">
        <v>221</v>
      </c>
    </row>
    <row r="987" ht="13.9" spans="1:34">
      <c r="A987" s="6" t="s">
        <v>202</v>
      </c>
      <c r="B987" s="7">
        <v>0</v>
      </c>
      <c r="C987" s="6">
        <v>0</v>
      </c>
      <c r="D987" s="6">
        <v>0.22</v>
      </c>
      <c r="E987" s="6">
        <v>0</v>
      </c>
      <c r="F987" s="6">
        <v>2.46</v>
      </c>
      <c r="G987" s="6">
        <v>0</v>
      </c>
      <c r="H987" s="6">
        <v>6.8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8">
        <v>90.52</v>
      </c>
      <c r="U987" s="7">
        <v>470</v>
      </c>
      <c r="V987" s="6">
        <v>120</v>
      </c>
      <c r="W987" s="6">
        <v>24</v>
      </c>
      <c r="X987" s="6" t="s">
        <v>42</v>
      </c>
      <c r="Y987" s="6" t="s">
        <v>73</v>
      </c>
      <c r="Z987" s="6" t="s">
        <v>37</v>
      </c>
      <c r="AA987" s="6" t="s">
        <v>74</v>
      </c>
      <c r="AB987" s="6" t="s">
        <v>37</v>
      </c>
      <c r="AC987" s="6" t="s">
        <v>43</v>
      </c>
      <c r="AD987" s="26" t="s">
        <v>77</v>
      </c>
      <c r="AE987" s="7">
        <v>509.7</v>
      </c>
      <c r="AF987" s="6">
        <v>568.5</v>
      </c>
      <c r="AG987" s="6">
        <v>3.8</v>
      </c>
      <c r="AH987" s="52" t="s">
        <v>221</v>
      </c>
    </row>
    <row r="988" ht="13.9" spans="1:34">
      <c r="A988" s="6" t="s">
        <v>202</v>
      </c>
      <c r="B988" s="7">
        <v>0</v>
      </c>
      <c r="C988" s="6">
        <v>0</v>
      </c>
      <c r="D988" s="6">
        <v>0.22</v>
      </c>
      <c r="E988" s="6">
        <v>0</v>
      </c>
      <c r="F988" s="6">
        <v>2.46</v>
      </c>
      <c r="G988" s="6">
        <v>0</v>
      </c>
      <c r="H988" s="6">
        <v>6.8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8">
        <v>90.52</v>
      </c>
      <c r="U988" s="7">
        <v>470</v>
      </c>
      <c r="V988" s="6">
        <v>120</v>
      </c>
      <c r="W988" s="6">
        <v>48</v>
      </c>
      <c r="X988" s="6" t="s">
        <v>42</v>
      </c>
      <c r="Y988" s="6" t="s">
        <v>73</v>
      </c>
      <c r="Z988" s="6" t="s">
        <v>37</v>
      </c>
      <c r="AA988" s="6" t="s">
        <v>74</v>
      </c>
      <c r="AB988" s="6" t="s">
        <v>37</v>
      </c>
      <c r="AC988" s="6" t="s">
        <v>43</v>
      </c>
      <c r="AD988" s="26" t="s">
        <v>77</v>
      </c>
      <c r="AE988" s="7">
        <v>501.2</v>
      </c>
      <c r="AF988" s="6">
        <v>438.6</v>
      </c>
      <c r="AG988" s="6">
        <v>3.8</v>
      </c>
      <c r="AH988" s="52" t="s">
        <v>221</v>
      </c>
    </row>
    <row r="989" ht="13.9" spans="1:34">
      <c r="A989" s="6" t="s">
        <v>202</v>
      </c>
      <c r="B989" s="7">
        <v>0</v>
      </c>
      <c r="C989" s="6">
        <v>0</v>
      </c>
      <c r="D989" s="6">
        <v>0.19</v>
      </c>
      <c r="E989" s="6">
        <v>0</v>
      </c>
      <c r="F989" s="6">
        <v>2.49</v>
      </c>
      <c r="G989" s="6">
        <v>0</v>
      </c>
      <c r="H989" s="6">
        <v>6.72</v>
      </c>
      <c r="I989" s="6">
        <v>0</v>
      </c>
      <c r="J989" s="6">
        <v>0</v>
      </c>
      <c r="K989" s="6">
        <v>0.16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0.1</v>
      </c>
      <c r="T989" s="8">
        <v>90.34</v>
      </c>
      <c r="U989" s="7">
        <v>470</v>
      </c>
      <c r="V989" s="6">
        <v>25</v>
      </c>
      <c r="W989" s="6">
        <v>0</v>
      </c>
      <c r="X989" s="6" t="s">
        <v>42</v>
      </c>
      <c r="Y989" s="6" t="s">
        <v>73</v>
      </c>
      <c r="Z989" s="6" t="s">
        <v>37</v>
      </c>
      <c r="AA989" s="6" t="s">
        <v>80</v>
      </c>
      <c r="AB989" s="6" t="s">
        <v>37</v>
      </c>
      <c r="AC989" s="6" t="s">
        <v>43</v>
      </c>
      <c r="AD989" s="26" t="s">
        <v>86</v>
      </c>
      <c r="AE989" s="7">
        <v>288.9</v>
      </c>
      <c r="AF989" s="6">
        <v>454.8</v>
      </c>
      <c r="AG989" s="6">
        <v>15.3</v>
      </c>
      <c r="AH989" s="52" t="s">
        <v>221</v>
      </c>
    </row>
    <row r="990" ht="13.9" spans="1:34">
      <c r="A990" s="6" t="s">
        <v>202</v>
      </c>
      <c r="B990" s="7">
        <v>0</v>
      </c>
      <c r="C990" s="6">
        <v>0</v>
      </c>
      <c r="D990" s="6">
        <v>0.22</v>
      </c>
      <c r="E990" s="6">
        <v>0</v>
      </c>
      <c r="F990" s="6">
        <v>2.46</v>
      </c>
      <c r="G990" s="6">
        <v>0</v>
      </c>
      <c r="H990" s="6">
        <v>6.8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8">
        <v>90.52</v>
      </c>
      <c r="U990" s="7">
        <v>470</v>
      </c>
      <c r="V990" s="6">
        <v>25</v>
      </c>
      <c r="W990" s="6">
        <v>0</v>
      </c>
      <c r="X990" s="6" t="s">
        <v>42</v>
      </c>
      <c r="Y990" s="6" t="s">
        <v>73</v>
      </c>
      <c r="Z990" s="6" t="s">
        <v>37</v>
      </c>
      <c r="AA990" s="6" t="s">
        <v>80</v>
      </c>
      <c r="AB990" s="6" t="s">
        <v>37</v>
      </c>
      <c r="AC990" s="6" t="s">
        <v>43</v>
      </c>
      <c r="AD990" s="26" t="s">
        <v>86</v>
      </c>
      <c r="AE990" s="7">
        <v>205.3</v>
      </c>
      <c r="AF990" s="6">
        <v>389.8</v>
      </c>
      <c r="AG990" s="6">
        <v>27</v>
      </c>
      <c r="AH990" s="52" t="s">
        <v>221</v>
      </c>
    </row>
    <row r="991" ht="13.9" spans="1:34">
      <c r="A991" s="6" t="s">
        <v>202</v>
      </c>
      <c r="B991" s="7">
        <v>0</v>
      </c>
      <c r="C991" s="6">
        <v>0</v>
      </c>
      <c r="D991" s="6">
        <v>2.88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0.16</v>
      </c>
      <c r="L991" s="6">
        <v>2.52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8">
        <f t="shared" ref="T991:T997" si="35">100-SUM(B991:S991)</f>
        <v>94.44</v>
      </c>
      <c r="U991" s="7">
        <v>510</v>
      </c>
      <c r="V991" s="6">
        <v>150</v>
      </c>
      <c r="W991" s="6">
        <v>32</v>
      </c>
      <c r="X991" s="6" t="s">
        <v>42</v>
      </c>
      <c r="Y991" s="6" t="s">
        <v>73</v>
      </c>
      <c r="Z991" s="6" t="s">
        <v>37</v>
      </c>
      <c r="AA991" s="6" t="s">
        <v>74</v>
      </c>
      <c r="AB991" s="6" t="s">
        <v>37</v>
      </c>
      <c r="AC991" s="6" t="s">
        <v>43</v>
      </c>
      <c r="AD991" s="26" t="s">
        <v>77</v>
      </c>
      <c r="AE991" s="7" t="s">
        <v>40</v>
      </c>
      <c r="AF991" s="6">
        <v>605</v>
      </c>
      <c r="AG991" s="10">
        <v>3.7</v>
      </c>
      <c r="AH991" s="53" t="s">
        <v>222</v>
      </c>
    </row>
    <row r="992" ht="13.9" spans="1:34">
      <c r="A992" s="6" t="s">
        <v>202</v>
      </c>
      <c r="B992" s="7">
        <v>0</v>
      </c>
      <c r="C992" s="6">
        <v>0</v>
      </c>
      <c r="D992" s="6">
        <v>3.89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0.18</v>
      </c>
      <c r="L992" s="6">
        <v>2.5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8">
        <f t="shared" si="35"/>
        <v>93.43</v>
      </c>
      <c r="U992" s="7">
        <v>510</v>
      </c>
      <c r="V992" s="6">
        <v>150</v>
      </c>
      <c r="W992" s="6">
        <v>32</v>
      </c>
      <c r="X992" s="6" t="s">
        <v>42</v>
      </c>
      <c r="Y992" s="6" t="s">
        <v>73</v>
      </c>
      <c r="Z992" s="6" t="s">
        <v>37</v>
      </c>
      <c r="AA992" s="6" t="s">
        <v>74</v>
      </c>
      <c r="AB992" s="6" t="s">
        <v>37</v>
      </c>
      <c r="AC992" s="6" t="s">
        <v>43</v>
      </c>
      <c r="AD992" s="26" t="s">
        <v>77</v>
      </c>
      <c r="AE992" s="7" t="s">
        <v>40</v>
      </c>
      <c r="AF992" s="6">
        <v>589</v>
      </c>
      <c r="AG992" s="10">
        <v>2.4</v>
      </c>
      <c r="AH992" s="53" t="s">
        <v>222</v>
      </c>
    </row>
    <row r="993" ht="13.9" spans="1:34">
      <c r="A993" s="6" t="s">
        <v>202</v>
      </c>
      <c r="B993" s="7">
        <v>0</v>
      </c>
      <c r="C993" s="6">
        <v>0</v>
      </c>
      <c r="D993" s="6">
        <v>2.03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0.17</v>
      </c>
      <c r="L993" s="6">
        <v>2.53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8">
        <f t="shared" si="35"/>
        <v>95.27</v>
      </c>
      <c r="U993" s="7">
        <v>510</v>
      </c>
      <c r="V993" s="6">
        <v>150</v>
      </c>
      <c r="W993" s="6">
        <v>24</v>
      </c>
      <c r="X993" s="6" t="s">
        <v>42</v>
      </c>
      <c r="Y993" s="6" t="s">
        <v>73</v>
      </c>
      <c r="Z993" s="6" t="s">
        <v>37</v>
      </c>
      <c r="AA993" s="6" t="s">
        <v>74</v>
      </c>
      <c r="AB993" s="6" t="s">
        <v>37</v>
      </c>
      <c r="AC993" s="6" t="s">
        <v>43</v>
      </c>
      <c r="AD993" s="26" t="s">
        <v>77</v>
      </c>
      <c r="AE993" s="7" t="s">
        <v>40</v>
      </c>
      <c r="AF993" s="6">
        <v>588</v>
      </c>
      <c r="AG993" s="10">
        <v>4</v>
      </c>
      <c r="AH993" s="53" t="s">
        <v>222</v>
      </c>
    </row>
    <row r="994" ht="13.9" spans="1:34">
      <c r="A994" s="6" t="s">
        <v>202</v>
      </c>
      <c r="B994" s="7">
        <v>0</v>
      </c>
      <c r="C994" s="6">
        <v>0</v>
      </c>
      <c r="D994" s="6">
        <v>5.03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0.17</v>
      </c>
      <c r="L994" s="6">
        <v>2.49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8">
        <f t="shared" si="35"/>
        <v>92.31</v>
      </c>
      <c r="U994" s="7">
        <v>510</v>
      </c>
      <c r="V994" s="6">
        <v>150</v>
      </c>
      <c r="W994" s="6">
        <v>50</v>
      </c>
      <c r="X994" s="6" t="s">
        <v>42</v>
      </c>
      <c r="Y994" s="6" t="s">
        <v>73</v>
      </c>
      <c r="Z994" s="6" t="s">
        <v>37</v>
      </c>
      <c r="AA994" s="6" t="s">
        <v>74</v>
      </c>
      <c r="AB994" s="6" t="s">
        <v>37</v>
      </c>
      <c r="AC994" s="6" t="s">
        <v>43</v>
      </c>
      <c r="AD994" s="26" t="s">
        <v>77</v>
      </c>
      <c r="AE994" s="7" t="s">
        <v>40</v>
      </c>
      <c r="AF994" s="6">
        <v>564</v>
      </c>
      <c r="AG994" s="10">
        <v>1.8</v>
      </c>
      <c r="AH994" s="53" t="s">
        <v>222</v>
      </c>
    </row>
    <row r="995" ht="13.9" spans="1:34">
      <c r="A995" s="6" t="s">
        <v>202</v>
      </c>
      <c r="B995" s="7">
        <v>0</v>
      </c>
      <c r="C995" s="6">
        <v>0</v>
      </c>
      <c r="D995" s="6">
        <v>1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0.17</v>
      </c>
      <c r="L995" s="6">
        <v>2.5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8">
        <f t="shared" si="35"/>
        <v>96.33</v>
      </c>
      <c r="U995" s="7">
        <v>510</v>
      </c>
      <c r="V995" s="6">
        <v>150</v>
      </c>
      <c r="W995" s="6">
        <v>16</v>
      </c>
      <c r="X995" s="6" t="s">
        <v>42</v>
      </c>
      <c r="Y995" s="6" t="s">
        <v>73</v>
      </c>
      <c r="Z995" s="6" t="s">
        <v>37</v>
      </c>
      <c r="AA995" s="6" t="s">
        <v>74</v>
      </c>
      <c r="AB995" s="6" t="s">
        <v>37</v>
      </c>
      <c r="AC995" s="6" t="s">
        <v>43</v>
      </c>
      <c r="AD995" s="26" t="s">
        <v>77</v>
      </c>
      <c r="AE995" s="7" t="s">
        <v>40</v>
      </c>
      <c r="AF995" s="6">
        <v>563</v>
      </c>
      <c r="AG995" s="10">
        <v>4.2</v>
      </c>
      <c r="AH995" s="53" t="s">
        <v>222</v>
      </c>
    </row>
    <row r="996" ht="13.9" spans="1:34">
      <c r="A996" s="6" t="s">
        <v>202</v>
      </c>
      <c r="B996" s="7">
        <v>0</v>
      </c>
      <c r="C996" s="6">
        <v>0</v>
      </c>
      <c r="D996" s="6">
        <v>6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0.17</v>
      </c>
      <c r="L996" s="6">
        <v>2.54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8">
        <f t="shared" si="35"/>
        <v>91.29</v>
      </c>
      <c r="U996" s="7">
        <v>510</v>
      </c>
      <c r="V996" s="6">
        <v>150</v>
      </c>
      <c r="W996" s="6">
        <v>50</v>
      </c>
      <c r="X996" s="6" t="s">
        <v>42</v>
      </c>
      <c r="Y996" s="6" t="s">
        <v>73</v>
      </c>
      <c r="Z996" s="6" t="s">
        <v>37</v>
      </c>
      <c r="AA996" s="6" t="s">
        <v>74</v>
      </c>
      <c r="AB996" s="6" t="s">
        <v>37</v>
      </c>
      <c r="AC996" s="6" t="s">
        <v>43</v>
      </c>
      <c r="AD996" s="26" t="s">
        <v>77</v>
      </c>
      <c r="AE996" s="7" t="s">
        <v>40</v>
      </c>
      <c r="AF996" s="6">
        <v>554</v>
      </c>
      <c r="AG996" s="10">
        <v>1.7</v>
      </c>
      <c r="AH996" s="53" t="s">
        <v>222</v>
      </c>
    </row>
    <row r="997" ht="13.9" spans="1:34">
      <c r="A997" s="6" t="s">
        <v>202</v>
      </c>
      <c r="B997" s="7">
        <v>0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0.17</v>
      </c>
      <c r="L997" s="6">
        <v>2.5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8">
        <f t="shared" si="35"/>
        <v>97.33</v>
      </c>
      <c r="U997" s="7">
        <v>510</v>
      </c>
      <c r="V997" s="6">
        <v>150</v>
      </c>
      <c r="W997" s="6">
        <v>16</v>
      </c>
      <c r="X997" s="6" t="s">
        <v>42</v>
      </c>
      <c r="Y997" s="6" t="s">
        <v>73</v>
      </c>
      <c r="Z997" s="6" t="s">
        <v>37</v>
      </c>
      <c r="AA997" s="6" t="s">
        <v>74</v>
      </c>
      <c r="AB997" s="6" t="s">
        <v>37</v>
      </c>
      <c r="AC997" s="6" t="s">
        <v>43</v>
      </c>
      <c r="AD997" s="26" t="s">
        <v>77</v>
      </c>
      <c r="AE997" s="7" t="s">
        <v>40</v>
      </c>
      <c r="AF997" s="6">
        <v>474</v>
      </c>
      <c r="AG997" s="10">
        <v>4.3</v>
      </c>
      <c r="AH997" s="53" t="s">
        <v>222</v>
      </c>
    </row>
    <row r="998" ht="13.9" spans="1:34">
      <c r="A998" s="6" t="s">
        <v>202</v>
      </c>
      <c r="B998" s="7">
        <v>0</v>
      </c>
      <c r="C998" s="6">
        <v>0</v>
      </c>
      <c r="D998" s="6">
        <v>0</v>
      </c>
      <c r="E998" s="6">
        <v>0</v>
      </c>
      <c r="F998" s="6">
        <v>5</v>
      </c>
      <c r="G998" s="6">
        <v>0</v>
      </c>
      <c r="H998" s="6">
        <v>0</v>
      </c>
      <c r="I998" s="6">
        <v>0</v>
      </c>
      <c r="J998" s="6">
        <v>0.036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8">
        <v>94.964</v>
      </c>
      <c r="U998" s="7">
        <v>25</v>
      </c>
      <c r="V998" s="6">
        <v>25</v>
      </c>
      <c r="W998" s="6">
        <v>0</v>
      </c>
      <c r="X998" s="6" t="s">
        <v>44</v>
      </c>
      <c r="Y998" s="6" t="s">
        <v>35</v>
      </c>
      <c r="Z998" s="6" t="s">
        <v>37</v>
      </c>
      <c r="AA998" s="6" t="s">
        <v>37</v>
      </c>
      <c r="AB998" s="6" t="s">
        <v>37</v>
      </c>
      <c r="AC998" s="6" t="s">
        <v>51</v>
      </c>
      <c r="AD998" s="26" t="s">
        <v>52</v>
      </c>
      <c r="AE998" s="7">
        <v>136</v>
      </c>
      <c r="AF998" s="6">
        <v>269</v>
      </c>
      <c r="AG998" s="10">
        <v>30.6</v>
      </c>
      <c r="AH998" s="53" t="s">
        <v>223</v>
      </c>
    </row>
    <row r="999" ht="13.9" spans="1:34">
      <c r="A999" s="6" t="s">
        <v>202</v>
      </c>
      <c r="B999" s="7">
        <v>0</v>
      </c>
      <c r="C999" s="6">
        <v>0</v>
      </c>
      <c r="D999" s="6">
        <v>0</v>
      </c>
      <c r="E999" s="6">
        <v>0</v>
      </c>
      <c r="F999" s="6">
        <v>5</v>
      </c>
      <c r="G999" s="6">
        <v>0</v>
      </c>
      <c r="H999" s="6">
        <v>0</v>
      </c>
      <c r="I999" s="6">
        <v>0</v>
      </c>
      <c r="J999" s="6">
        <v>0.036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8">
        <v>94.964</v>
      </c>
      <c r="U999" s="7">
        <v>350</v>
      </c>
      <c r="V999" s="6">
        <v>25</v>
      </c>
      <c r="W999" s="6">
        <v>0</v>
      </c>
      <c r="X999" s="6" t="s">
        <v>44</v>
      </c>
      <c r="Y999" s="6" t="s">
        <v>50</v>
      </c>
      <c r="Z999" s="6" t="s">
        <v>37</v>
      </c>
      <c r="AA999" s="6" t="s">
        <v>37</v>
      </c>
      <c r="AB999" s="6" t="s">
        <v>37</v>
      </c>
      <c r="AC999" s="6" t="s">
        <v>51</v>
      </c>
      <c r="AD999" s="26" t="s">
        <v>57</v>
      </c>
      <c r="AE999" s="7">
        <v>148</v>
      </c>
      <c r="AF999" s="6">
        <v>263</v>
      </c>
      <c r="AG999" s="10">
        <v>29.4</v>
      </c>
      <c r="AH999" s="53" t="s">
        <v>223</v>
      </c>
    </row>
    <row r="1000" ht="13.9" spans="1:34">
      <c r="A1000" s="6" t="s">
        <v>202</v>
      </c>
      <c r="B1000" s="7">
        <v>0</v>
      </c>
      <c r="C1000" s="6">
        <v>0</v>
      </c>
      <c r="D1000" s="6">
        <v>0</v>
      </c>
      <c r="E1000" s="6">
        <v>0</v>
      </c>
      <c r="F1000" s="6">
        <v>5</v>
      </c>
      <c r="G1000" s="6">
        <v>0</v>
      </c>
      <c r="H1000" s="6">
        <v>0</v>
      </c>
      <c r="I1000" s="6">
        <v>0</v>
      </c>
      <c r="J1000" s="6">
        <v>0.036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8">
        <v>94.964</v>
      </c>
      <c r="U1000" s="7">
        <v>450</v>
      </c>
      <c r="V1000" s="6">
        <v>25</v>
      </c>
      <c r="W1000" s="6">
        <v>0</v>
      </c>
      <c r="X1000" s="6" t="s">
        <v>44</v>
      </c>
      <c r="Y1000" s="6" t="s">
        <v>50</v>
      </c>
      <c r="Z1000" s="6" t="s">
        <v>37</v>
      </c>
      <c r="AA1000" s="6" t="s">
        <v>37</v>
      </c>
      <c r="AB1000" s="6" t="s">
        <v>37</v>
      </c>
      <c r="AC1000" s="6" t="s">
        <v>51</v>
      </c>
      <c r="AD1000" s="26" t="s">
        <v>57</v>
      </c>
      <c r="AE1000" s="7">
        <v>151</v>
      </c>
      <c r="AF1000" s="6">
        <v>262</v>
      </c>
      <c r="AG1000" s="10">
        <v>34.3</v>
      </c>
      <c r="AH1000" s="53" t="s">
        <v>223</v>
      </c>
    </row>
    <row r="1001" ht="13.9" spans="1:34">
      <c r="A1001" s="6" t="s">
        <v>202</v>
      </c>
      <c r="B1001" s="7">
        <v>1.18</v>
      </c>
      <c r="C1001" s="6">
        <v>0.191</v>
      </c>
      <c r="D1001" s="6">
        <v>1.13</v>
      </c>
      <c r="E1001" s="6">
        <v>0</v>
      </c>
      <c r="F1001" s="6">
        <v>1.58</v>
      </c>
      <c r="G1001" s="6">
        <v>0.169</v>
      </c>
      <c r="H1001" s="6">
        <v>0</v>
      </c>
      <c r="I1001" s="6">
        <v>0.151</v>
      </c>
      <c r="J1001" s="6">
        <v>0.032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8">
        <f t="shared" ref="T1001:T1006" si="36">100-SUM(B1001:S1001)</f>
        <v>95.567</v>
      </c>
      <c r="U1001" s="7">
        <v>550</v>
      </c>
      <c r="V1001" s="6">
        <v>170</v>
      </c>
      <c r="W1001" s="6">
        <v>24</v>
      </c>
      <c r="X1001" s="6" t="s">
        <v>44</v>
      </c>
      <c r="Y1001" s="6" t="s">
        <v>73</v>
      </c>
      <c r="Z1001" s="6" t="s">
        <v>37</v>
      </c>
      <c r="AA1001" s="6" t="s">
        <v>74</v>
      </c>
      <c r="AB1001" s="6" t="s">
        <v>37</v>
      </c>
      <c r="AC1001" s="6" t="s">
        <v>69</v>
      </c>
      <c r="AD1001" s="26" t="s">
        <v>77</v>
      </c>
      <c r="AE1001" s="7">
        <v>361</v>
      </c>
      <c r="AF1001" s="6">
        <v>419</v>
      </c>
      <c r="AG1001" s="10">
        <v>18.8</v>
      </c>
      <c r="AH1001" s="53" t="s">
        <v>224</v>
      </c>
    </row>
    <row r="1002" ht="13.9" spans="1:34">
      <c r="A1002" s="6" t="s">
        <v>202</v>
      </c>
      <c r="B1002" s="7">
        <v>1.17</v>
      </c>
      <c r="C1002" s="6">
        <v>0.184</v>
      </c>
      <c r="D1002" s="6">
        <v>1.11</v>
      </c>
      <c r="E1002" s="6">
        <v>0</v>
      </c>
      <c r="F1002" s="6">
        <v>1.62</v>
      </c>
      <c r="G1002" s="6">
        <v>0.151</v>
      </c>
      <c r="H1002" s="6">
        <v>0</v>
      </c>
      <c r="I1002" s="6">
        <v>0</v>
      </c>
      <c r="J1002" s="6">
        <v>0.029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8">
        <f t="shared" si="36"/>
        <v>95.736</v>
      </c>
      <c r="U1002" s="7">
        <v>550</v>
      </c>
      <c r="V1002" s="6">
        <v>170</v>
      </c>
      <c r="W1002" s="6">
        <v>24</v>
      </c>
      <c r="X1002" s="6" t="s">
        <v>44</v>
      </c>
      <c r="Y1002" s="6" t="s">
        <v>73</v>
      </c>
      <c r="Z1002" s="6" t="s">
        <v>37</v>
      </c>
      <c r="AA1002" s="6" t="s">
        <v>74</v>
      </c>
      <c r="AB1002" s="6" t="s">
        <v>37</v>
      </c>
      <c r="AC1002" s="6" t="s">
        <v>69</v>
      </c>
      <c r="AD1002" s="26" t="s">
        <v>77</v>
      </c>
      <c r="AE1002" s="7">
        <v>319</v>
      </c>
      <c r="AF1002" s="6">
        <v>395</v>
      </c>
      <c r="AG1002" s="10">
        <v>23.4</v>
      </c>
      <c r="AH1002" s="53" t="s">
        <v>224</v>
      </c>
    </row>
    <row r="1003" ht="13.9" spans="1:34">
      <c r="A1003" s="6" t="s">
        <v>202</v>
      </c>
      <c r="B1003" s="7">
        <v>1.21</v>
      </c>
      <c r="C1003" s="6">
        <v>0.179</v>
      </c>
      <c r="D1003" s="6">
        <v>1.09</v>
      </c>
      <c r="E1003" s="6">
        <v>0</v>
      </c>
      <c r="F1003" s="6">
        <v>1.57</v>
      </c>
      <c r="G1003" s="6">
        <v>0.178</v>
      </c>
      <c r="H1003" s="6">
        <v>0</v>
      </c>
      <c r="I1003" s="6">
        <v>0.158</v>
      </c>
      <c r="J1003" s="6">
        <v>0.028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8">
        <f t="shared" si="36"/>
        <v>95.587</v>
      </c>
      <c r="U1003" s="7">
        <v>550</v>
      </c>
      <c r="V1003" s="6">
        <v>170</v>
      </c>
      <c r="W1003" s="6">
        <v>24</v>
      </c>
      <c r="X1003" s="6" t="s">
        <v>44</v>
      </c>
      <c r="Y1003" s="6" t="s">
        <v>73</v>
      </c>
      <c r="Z1003" s="6" t="s">
        <v>37</v>
      </c>
      <c r="AA1003" s="6" t="s">
        <v>74</v>
      </c>
      <c r="AB1003" s="6" t="s">
        <v>37</v>
      </c>
      <c r="AC1003" s="6" t="s">
        <v>69</v>
      </c>
      <c r="AD1003" s="26" t="s">
        <v>77</v>
      </c>
      <c r="AE1003" s="7">
        <v>342</v>
      </c>
      <c r="AF1003" s="6">
        <v>390</v>
      </c>
      <c r="AG1003" s="10">
        <v>15.2</v>
      </c>
      <c r="AH1003" s="53" t="s">
        <v>224</v>
      </c>
    </row>
    <row r="1004" ht="13.9" spans="1:34">
      <c r="A1004" s="6" t="s">
        <v>202</v>
      </c>
      <c r="B1004" s="7">
        <v>1.18</v>
      </c>
      <c r="C1004" s="6">
        <v>0.191</v>
      </c>
      <c r="D1004" s="6">
        <v>1.13</v>
      </c>
      <c r="E1004" s="6">
        <v>0</v>
      </c>
      <c r="F1004" s="6">
        <v>1.58</v>
      </c>
      <c r="G1004" s="6">
        <v>0.169</v>
      </c>
      <c r="H1004" s="6">
        <v>0</v>
      </c>
      <c r="I1004" s="6">
        <v>0.151</v>
      </c>
      <c r="J1004" s="6">
        <v>0.032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8">
        <f t="shared" si="36"/>
        <v>95.567</v>
      </c>
      <c r="U1004" s="7">
        <v>25</v>
      </c>
      <c r="V1004" s="6">
        <v>25</v>
      </c>
      <c r="W1004" s="6">
        <v>0</v>
      </c>
      <c r="X1004" s="6" t="s">
        <v>44</v>
      </c>
      <c r="Y1004" s="6" t="s">
        <v>35</v>
      </c>
      <c r="Z1004" s="6" t="s">
        <v>37</v>
      </c>
      <c r="AA1004" s="6" t="s">
        <v>37</v>
      </c>
      <c r="AB1004" s="6" t="s">
        <v>37</v>
      </c>
      <c r="AC1004" s="6" t="s">
        <v>69</v>
      </c>
      <c r="AD1004" s="26" t="s">
        <v>52</v>
      </c>
      <c r="AE1004" s="7">
        <v>116</v>
      </c>
      <c r="AF1004" s="6">
        <v>240</v>
      </c>
      <c r="AG1004" s="10">
        <v>20.7</v>
      </c>
      <c r="AH1004" s="53" t="s">
        <v>224</v>
      </c>
    </row>
    <row r="1005" s="5" customFormat="1" ht="13.9" spans="1:34">
      <c r="A1005" s="6" t="s">
        <v>202</v>
      </c>
      <c r="B1005" s="7">
        <v>1.17</v>
      </c>
      <c r="C1005" s="6">
        <v>0.184</v>
      </c>
      <c r="D1005" s="6">
        <v>1.11</v>
      </c>
      <c r="E1005" s="6">
        <v>0</v>
      </c>
      <c r="F1005" s="6">
        <v>1.62</v>
      </c>
      <c r="G1005" s="6">
        <v>0.151</v>
      </c>
      <c r="H1005" s="6">
        <v>0</v>
      </c>
      <c r="I1005" s="6">
        <v>0</v>
      </c>
      <c r="J1005" s="6">
        <v>0.029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8">
        <f t="shared" si="36"/>
        <v>95.736</v>
      </c>
      <c r="U1005" s="7">
        <v>25</v>
      </c>
      <c r="V1005" s="6">
        <v>25</v>
      </c>
      <c r="W1005" s="6">
        <v>0</v>
      </c>
      <c r="X1005" s="6" t="s">
        <v>44</v>
      </c>
      <c r="Y1005" s="6" t="s">
        <v>35</v>
      </c>
      <c r="Z1005" s="6" t="s">
        <v>37</v>
      </c>
      <c r="AA1005" s="6" t="s">
        <v>37</v>
      </c>
      <c r="AB1005" s="6" t="s">
        <v>37</v>
      </c>
      <c r="AC1005" s="6" t="s">
        <v>69</v>
      </c>
      <c r="AD1005" s="26" t="s">
        <v>52</v>
      </c>
      <c r="AE1005" s="7">
        <v>93</v>
      </c>
      <c r="AF1005" s="6">
        <v>206</v>
      </c>
      <c r="AG1005" s="10">
        <v>24.1</v>
      </c>
      <c r="AH1005" s="53" t="s">
        <v>224</v>
      </c>
    </row>
    <row r="1006" s="5" customFormat="1" ht="13.9" spans="1:34">
      <c r="A1006" s="6" t="s">
        <v>202</v>
      </c>
      <c r="B1006" s="7">
        <v>1.21</v>
      </c>
      <c r="C1006" s="6">
        <v>0.179</v>
      </c>
      <c r="D1006" s="6">
        <v>1.09</v>
      </c>
      <c r="E1006" s="6">
        <v>0</v>
      </c>
      <c r="F1006" s="6">
        <v>1.57</v>
      </c>
      <c r="G1006" s="6">
        <v>0.178</v>
      </c>
      <c r="H1006" s="6">
        <v>0</v>
      </c>
      <c r="I1006" s="6">
        <v>0.158</v>
      </c>
      <c r="J1006" s="6">
        <v>0.028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8">
        <f t="shared" si="36"/>
        <v>95.587</v>
      </c>
      <c r="U1006" s="7">
        <v>25</v>
      </c>
      <c r="V1006" s="6">
        <v>25</v>
      </c>
      <c r="W1006" s="6">
        <v>0</v>
      </c>
      <c r="X1006" s="6" t="s">
        <v>44</v>
      </c>
      <c r="Y1006" s="6" t="s">
        <v>35</v>
      </c>
      <c r="Z1006" s="6" t="s">
        <v>37</v>
      </c>
      <c r="AA1006" s="6" t="s">
        <v>37</v>
      </c>
      <c r="AB1006" s="6" t="s">
        <v>37</v>
      </c>
      <c r="AC1006" s="6" t="s">
        <v>69</v>
      </c>
      <c r="AD1006" s="26" t="s">
        <v>52</v>
      </c>
      <c r="AE1006" s="7">
        <v>114</v>
      </c>
      <c r="AF1006" s="6">
        <v>186</v>
      </c>
      <c r="AG1006" s="10">
        <v>22.5</v>
      </c>
      <c r="AH1006" s="53" t="s">
        <v>224</v>
      </c>
    </row>
    <row r="1007" ht="13.9" spans="1:34">
      <c r="A1007" s="6" t="s">
        <v>202</v>
      </c>
      <c r="B1007" s="7">
        <v>0.16</v>
      </c>
      <c r="C1007" s="6">
        <v>0.11</v>
      </c>
      <c r="D1007" s="6">
        <v>2.42</v>
      </c>
      <c r="E1007" s="6">
        <v>0.1</v>
      </c>
      <c r="F1007" s="6">
        <v>2.07</v>
      </c>
      <c r="G1007" s="6">
        <v>0</v>
      </c>
      <c r="H1007" s="6">
        <v>5.87</v>
      </c>
      <c r="I1007" s="6">
        <v>0</v>
      </c>
      <c r="J1007" s="6">
        <v>0.05</v>
      </c>
      <c r="K1007" s="6">
        <v>0.1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8">
        <v>89.12</v>
      </c>
      <c r="U1007" s="7">
        <v>473</v>
      </c>
      <c r="V1007" s="6">
        <v>120</v>
      </c>
      <c r="W1007" s="6">
        <v>24</v>
      </c>
      <c r="X1007" s="6" t="s">
        <v>42</v>
      </c>
      <c r="Y1007" s="6" t="s">
        <v>73</v>
      </c>
      <c r="Z1007" s="6" t="s">
        <v>37</v>
      </c>
      <c r="AA1007" s="6" t="s">
        <v>74</v>
      </c>
      <c r="AB1007" s="6" t="s">
        <v>37</v>
      </c>
      <c r="AC1007" s="6" t="s">
        <v>43</v>
      </c>
      <c r="AD1007" s="26" t="s">
        <v>77</v>
      </c>
      <c r="AE1007" s="7">
        <v>510</v>
      </c>
      <c r="AF1007" s="6">
        <v>579</v>
      </c>
      <c r="AG1007" s="6">
        <v>15.3</v>
      </c>
      <c r="AH1007" s="52" t="s">
        <v>225</v>
      </c>
    </row>
    <row r="1008" ht="13.9" spans="1:34">
      <c r="A1008" s="6" t="s">
        <v>202</v>
      </c>
      <c r="B1008" s="7">
        <v>0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2.3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8">
        <v>97.7</v>
      </c>
      <c r="U1008" s="7">
        <v>538</v>
      </c>
      <c r="V1008" s="6">
        <v>200</v>
      </c>
      <c r="W1008" s="6">
        <v>4</v>
      </c>
      <c r="X1008" s="6" t="s">
        <v>53</v>
      </c>
      <c r="Y1008" s="6" t="s">
        <v>73</v>
      </c>
      <c r="Z1008" s="6" t="s">
        <v>37</v>
      </c>
      <c r="AA1008" s="6" t="s">
        <v>74</v>
      </c>
      <c r="AB1008" s="6" t="s">
        <v>37</v>
      </c>
      <c r="AC1008" s="6" t="s">
        <v>53</v>
      </c>
      <c r="AD1008" s="26" t="s">
        <v>77</v>
      </c>
      <c r="AE1008" s="7">
        <v>195</v>
      </c>
      <c r="AF1008" s="6">
        <v>278</v>
      </c>
      <c r="AG1008" s="10">
        <v>6.6</v>
      </c>
      <c r="AH1008" s="53" t="s">
        <v>226</v>
      </c>
    </row>
    <row r="1009" ht="13.9" spans="1:34">
      <c r="A1009" s="6" t="s">
        <v>202</v>
      </c>
      <c r="B1009" s="7">
        <v>0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2.3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8">
        <v>97.7</v>
      </c>
      <c r="U1009" s="7">
        <v>538</v>
      </c>
      <c r="V1009" s="6">
        <v>200</v>
      </c>
      <c r="W1009" s="6">
        <v>0.25</v>
      </c>
      <c r="X1009" s="6" t="s">
        <v>53</v>
      </c>
      <c r="Y1009" s="6" t="s">
        <v>73</v>
      </c>
      <c r="Z1009" s="6" t="s">
        <v>37</v>
      </c>
      <c r="AA1009" s="6" t="s">
        <v>74</v>
      </c>
      <c r="AB1009" s="6" t="s">
        <v>37</v>
      </c>
      <c r="AC1009" s="6" t="s">
        <v>53</v>
      </c>
      <c r="AD1009" s="26" t="s">
        <v>77</v>
      </c>
      <c r="AE1009" s="7">
        <v>137</v>
      </c>
      <c r="AF1009" s="6">
        <v>215</v>
      </c>
      <c r="AG1009" s="10">
        <v>21</v>
      </c>
      <c r="AH1009" s="53" t="s">
        <v>226</v>
      </c>
    </row>
    <row r="1010" ht="13.9" spans="1:34">
      <c r="A1010" s="6" t="s">
        <v>202</v>
      </c>
      <c r="B1010" s="7">
        <v>0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1.5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8">
        <v>98.5</v>
      </c>
      <c r="U1010" s="7">
        <v>538</v>
      </c>
      <c r="V1010" s="6">
        <v>200</v>
      </c>
      <c r="W1010" s="6">
        <v>0.25</v>
      </c>
      <c r="X1010" s="6" t="s">
        <v>53</v>
      </c>
      <c r="Y1010" s="6" t="s">
        <v>73</v>
      </c>
      <c r="Z1010" s="6" t="s">
        <v>37</v>
      </c>
      <c r="AA1010" s="6" t="s">
        <v>74</v>
      </c>
      <c r="AB1010" s="6" t="s">
        <v>37</v>
      </c>
      <c r="AC1010" s="6" t="s">
        <v>53</v>
      </c>
      <c r="AD1010" s="26" t="s">
        <v>77</v>
      </c>
      <c r="AE1010" s="7">
        <v>37</v>
      </c>
      <c r="AF1010" s="6">
        <v>96</v>
      </c>
      <c r="AG1010" s="10">
        <v>42</v>
      </c>
      <c r="AH1010" s="53" t="s">
        <v>226</v>
      </c>
    </row>
    <row r="1011" ht="13.9" spans="1:34">
      <c r="A1011" s="6" t="s">
        <v>202</v>
      </c>
      <c r="B1011" s="7">
        <v>0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1.5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8">
        <v>98.5</v>
      </c>
      <c r="U1011" s="7">
        <v>538</v>
      </c>
      <c r="V1011" s="6">
        <v>200</v>
      </c>
      <c r="W1011" s="6">
        <v>4</v>
      </c>
      <c r="X1011" s="6" t="s">
        <v>53</v>
      </c>
      <c r="Y1011" s="6" t="s">
        <v>73</v>
      </c>
      <c r="Z1011" s="6" t="s">
        <v>37</v>
      </c>
      <c r="AA1011" s="6" t="s">
        <v>74</v>
      </c>
      <c r="AB1011" s="6" t="s">
        <v>37</v>
      </c>
      <c r="AC1011" s="6" t="s">
        <v>53</v>
      </c>
      <c r="AD1011" s="26" t="s">
        <v>77</v>
      </c>
      <c r="AE1011" s="7">
        <v>46</v>
      </c>
      <c r="AF1011" s="6">
        <v>94</v>
      </c>
      <c r="AG1011" s="10">
        <v>30</v>
      </c>
      <c r="AH1011" s="53" t="s">
        <v>226</v>
      </c>
    </row>
    <row r="1012" ht="13.9" spans="1:34">
      <c r="A1012" s="6" t="s">
        <v>202</v>
      </c>
      <c r="B1012" s="7">
        <v>0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0.9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8">
        <v>99.1</v>
      </c>
      <c r="U1012" s="7">
        <v>538</v>
      </c>
      <c r="V1012" s="6">
        <v>200</v>
      </c>
      <c r="W1012" s="6">
        <v>4</v>
      </c>
      <c r="X1012" s="6" t="s">
        <v>53</v>
      </c>
      <c r="Y1012" s="6" t="s">
        <v>73</v>
      </c>
      <c r="Z1012" s="6" t="s">
        <v>37</v>
      </c>
      <c r="AA1012" s="6" t="s">
        <v>74</v>
      </c>
      <c r="AB1012" s="6" t="s">
        <v>37</v>
      </c>
      <c r="AC1012" s="6" t="s">
        <v>53</v>
      </c>
      <c r="AD1012" s="26" t="s">
        <v>77</v>
      </c>
      <c r="AE1012" s="7" t="s">
        <v>40</v>
      </c>
      <c r="AF1012" s="6">
        <v>82</v>
      </c>
      <c r="AG1012" s="10">
        <v>39</v>
      </c>
      <c r="AH1012" s="53" t="s">
        <v>226</v>
      </c>
    </row>
    <row r="1013" ht="13.9" spans="1:34">
      <c r="A1013" s="6" t="s">
        <v>202</v>
      </c>
      <c r="B1013" s="7">
        <v>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0.9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8">
        <v>99.1</v>
      </c>
      <c r="U1013" s="7">
        <v>538</v>
      </c>
      <c r="V1013" s="6">
        <v>200</v>
      </c>
      <c r="W1013" s="6">
        <v>0.25</v>
      </c>
      <c r="X1013" s="6" t="s">
        <v>53</v>
      </c>
      <c r="Y1013" s="6" t="s">
        <v>73</v>
      </c>
      <c r="Z1013" s="6" t="s">
        <v>37</v>
      </c>
      <c r="AA1013" s="6" t="s">
        <v>74</v>
      </c>
      <c r="AB1013" s="6" t="s">
        <v>37</v>
      </c>
      <c r="AC1013" s="6" t="s">
        <v>53</v>
      </c>
      <c r="AD1013" s="26" t="s">
        <v>77</v>
      </c>
      <c r="AE1013" s="7" t="s">
        <v>40</v>
      </c>
      <c r="AF1013" s="6">
        <v>75</v>
      </c>
      <c r="AG1013" s="10">
        <v>43</v>
      </c>
      <c r="AH1013" s="53" t="s">
        <v>226</v>
      </c>
    </row>
    <row r="1014" ht="13.9" spans="1:34">
      <c r="A1014" s="6" t="s">
        <v>202</v>
      </c>
      <c r="B1014" s="7">
        <v>0</v>
      </c>
      <c r="C1014" s="6">
        <v>0</v>
      </c>
      <c r="D1014" s="6">
        <v>4.25</v>
      </c>
      <c r="E1014" s="6">
        <v>0</v>
      </c>
      <c r="F1014" s="6">
        <v>1.18</v>
      </c>
      <c r="G1014" s="6">
        <v>0</v>
      </c>
      <c r="H1014" s="6">
        <v>0.43</v>
      </c>
      <c r="I1014" s="6">
        <v>0</v>
      </c>
      <c r="J1014" s="6">
        <v>0</v>
      </c>
      <c r="K1014" s="6">
        <v>0.11</v>
      </c>
      <c r="L1014" s="6">
        <v>1.18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8">
        <v>92.85</v>
      </c>
      <c r="U1014" s="7">
        <v>500</v>
      </c>
      <c r="V1014" s="6">
        <v>150</v>
      </c>
      <c r="W1014" s="6">
        <v>32</v>
      </c>
      <c r="X1014" s="6" t="s">
        <v>44</v>
      </c>
      <c r="Y1014" s="6" t="s">
        <v>73</v>
      </c>
      <c r="Z1014" s="6" t="s">
        <v>79</v>
      </c>
      <c r="AA1014" s="6" t="s">
        <v>74</v>
      </c>
      <c r="AB1014" s="6" t="s">
        <v>37</v>
      </c>
      <c r="AC1014" s="6" t="s">
        <v>69</v>
      </c>
      <c r="AD1014" s="26" t="s">
        <v>83</v>
      </c>
      <c r="AE1014" s="7">
        <v>639</v>
      </c>
      <c r="AF1014" s="6">
        <v>666</v>
      </c>
      <c r="AG1014" s="6">
        <v>10.9</v>
      </c>
      <c r="AH1014" s="52" t="s">
        <v>227</v>
      </c>
    </row>
    <row r="1015" ht="13.9" spans="1:34">
      <c r="A1015" s="6" t="s">
        <v>202</v>
      </c>
      <c r="B1015" s="7">
        <v>0</v>
      </c>
      <c r="C1015" s="6">
        <v>0</v>
      </c>
      <c r="D1015" s="6">
        <v>4.25</v>
      </c>
      <c r="E1015" s="6">
        <v>0</v>
      </c>
      <c r="F1015" s="6">
        <v>1.18</v>
      </c>
      <c r="G1015" s="6">
        <v>0</v>
      </c>
      <c r="H1015" s="6">
        <v>0.43</v>
      </c>
      <c r="I1015" s="6">
        <v>0</v>
      </c>
      <c r="J1015" s="6">
        <v>0</v>
      </c>
      <c r="K1015" s="6">
        <v>0.11</v>
      </c>
      <c r="L1015" s="6">
        <v>1.18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8">
        <v>92.85</v>
      </c>
      <c r="U1015" s="7">
        <v>500</v>
      </c>
      <c r="V1015" s="6">
        <v>175</v>
      </c>
      <c r="W1015" s="6">
        <v>32</v>
      </c>
      <c r="X1015" s="6" t="s">
        <v>44</v>
      </c>
      <c r="Y1015" s="6" t="s">
        <v>73</v>
      </c>
      <c r="Z1015" s="6" t="s">
        <v>37</v>
      </c>
      <c r="AA1015" s="6" t="s">
        <v>74</v>
      </c>
      <c r="AB1015" s="6" t="s">
        <v>37</v>
      </c>
      <c r="AC1015" s="6" t="s">
        <v>69</v>
      </c>
      <c r="AD1015" s="26" t="s">
        <v>77</v>
      </c>
      <c r="AE1015" s="7">
        <v>597</v>
      </c>
      <c r="AF1015" s="6">
        <v>660</v>
      </c>
      <c r="AG1015" s="6">
        <v>7.6</v>
      </c>
      <c r="AH1015" s="52" t="s">
        <v>227</v>
      </c>
    </row>
    <row r="1016" ht="13.9" spans="1:34">
      <c r="A1016" s="6" t="s">
        <v>202</v>
      </c>
      <c r="B1016" s="7">
        <v>0</v>
      </c>
      <c r="C1016" s="6">
        <v>0</v>
      </c>
      <c r="D1016" s="6">
        <v>4.09</v>
      </c>
      <c r="E1016" s="6">
        <v>0</v>
      </c>
      <c r="F1016" s="6">
        <v>0.7</v>
      </c>
      <c r="G1016" s="6">
        <v>0</v>
      </c>
      <c r="H1016" s="6">
        <v>0.39</v>
      </c>
      <c r="I1016" s="6">
        <v>0</v>
      </c>
      <c r="J1016" s="6">
        <v>0</v>
      </c>
      <c r="K1016" s="6">
        <v>0.14</v>
      </c>
      <c r="L1016" s="6">
        <v>0.98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8">
        <v>93.7</v>
      </c>
      <c r="U1016" s="7">
        <v>500</v>
      </c>
      <c r="V1016" s="6">
        <v>150</v>
      </c>
      <c r="W1016" s="6">
        <v>32</v>
      </c>
      <c r="X1016" s="6" t="s">
        <v>44</v>
      </c>
      <c r="Y1016" s="6" t="s">
        <v>73</v>
      </c>
      <c r="Z1016" s="6" t="s">
        <v>79</v>
      </c>
      <c r="AA1016" s="6" t="s">
        <v>74</v>
      </c>
      <c r="AB1016" s="6" t="s">
        <v>37</v>
      </c>
      <c r="AC1016" s="6" t="s">
        <v>69</v>
      </c>
      <c r="AD1016" s="26" t="s">
        <v>83</v>
      </c>
      <c r="AE1016" s="7">
        <v>598</v>
      </c>
      <c r="AF1016" s="6">
        <v>627</v>
      </c>
      <c r="AG1016" s="6">
        <v>11.2</v>
      </c>
      <c r="AH1016" s="52" t="s">
        <v>227</v>
      </c>
    </row>
    <row r="1017" ht="13.9" spans="1:34">
      <c r="A1017" s="6" t="s">
        <v>202</v>
      </c>
      <c r="B1017" s="7">
        <v>0</v>
      </c>
      <c r="C1017" s="6">
        <v>0</v>
      </c>
      <c r="D1017" s="6">
        <v>4.12</v>
      </c>
      <c r="E1017" s="6">
        <v>0</v>
      </c>
      <c r="F1017" s="6">
        <v>0.37</v>
      </c>
      <c r="G1017" s="6">
        <v>0</v>
      </c>
      <c r="H1017" s="6">
        <v>0.41</v>
      </c>
      <c r="I1017" s="6">
        <v>0</v>
      </c>
      <c r="J1017" s="6">
        <v>0</v>
      </c>
      <c r="K1017" s="6">
        <v>0.11</v>
      </c>
      <c r="L1017" s="6">
        <v>1.05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8">
        <v>93.94</v>
      </c>
      <c r="U1017" s="7">
        <v>500</v>
      </c>
      <c r="V1017" s="6">
        <v>150</v>
      </c>
      <c r="W1017" s="6">
        <v>32</v>
      </c>
      <c r="X1017" s="6" t="s">
        <v>44</v>
      </c>
      <c r="Y1017" s="6" t="s">
        <v>73</v>
      </c>
      <c r="Z1017" s="6" t="s">
        <v>79</v>
      </c>
      <c r="AA1017" s="6" t="s">
        <v>74</v>
      </c>
      <c r="AB1017" s="6" t="s">
        <v>37</v>
      </c>
      <c r="AC1017" s="6" t="s">
        <v>69</v>
      </c>
      <c r="AD1017" s="26" t="s">
        <v>83</v>
      </c>
      <c r="AE1017" s="7">
        <v>594</v>
      </c>
      <c r="AF1017" s="6">
        <v>624</v>
      </c>
      <c r="AG1017" s="6">
        <v>9.7</v>
      </c>
      <c r="AH1017" s="52" t="s">
        <v>227</v>
      </c>
    </row>
    <row r="1018" ht="13.9" spans="1:34">
      <c r="A1018" s="6" t="s">
        <v>202</v>
      </c>
      <c r="B1018" s="7">
        <v>0</v>
      </c>
      <c r="C1018" s="6">
        <v>0</v>
      </c>
      <c r="D1018" s="6">
        <v>4.17</v>
      </c>
      <c r="E1018" s="6">
        <v>0</v>
      </c>
      <c r="F1018" s="6">
        <v>0.41</v>
      </c>
      <c r="G1018" s="6">
        <v>0</v>
      </c>
      <c r="H1018" s="6">
        <v>0</v>
      </c>
      <c r="I1018" s="6">
        <v>0</v>
      </c>
      <c r="J1018" s="6">
        <v>0</v>
      </c>
      <c r="K1018" s="6">
        <v>0.12</v>
      </c>
      <c r="L1018" s="6">
        <v>1.1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8">
        <v>94.2</v>
      </c>
      <c r="U1018" s="7">
        <v>500</v>
      </c>
      <c r="V1018" s="6">
        <v>150</v>
      </c>
      <c r="W1018" s="6">
        <v>32</v>
      </c>
      <c r="X1018" s="6" t="s">
        <v>44</v>
      </c>
      <c r="Y1018" s="6" t="s">
        <v>73</v>
      </c>
      <c r="Z1018" s="6" t="s">
        <v>79</v>
      </c>
      <c r="AA1018" s="6" t="s">
        <v>74</v>
      </c>
      <c r="AB1018" s="6" t="s">
        <v>37</v>
      </c>
      <c r="AC1018" s="6" t="s">
        <v>69</v>
      </c>
      <c r="AD1018" s="26" t="s">
        <v>83</v>
      </c>
      <c r="AE1018" s="7">
        <v>570</v>
      </c>
      <c r="AF1018" s="6">
        <v>609</v>
      </c>
      <c r="AG1018" s="6">
        <v>7.8</v>
      </c>
      <c r="AH1018" s="52" t="s">
        <v>227</v>
      </c>
    </row>
    <row r="1019" ht="13.9" spans="1:34">
      <c r="A1019" s="6" t="s">
        <v>202</v>
      </c>
      <c r="B1019" s="7">
        <v>0</v>
      </c>
      <c r="C1019" s="6">
        <v>0</v>
      </c>
      <c r="D1019" s="6">
        <v>4.09</v>
      </c>
      <c r="E1019" s="6">
        <v>0</v>
      </c>
      <c r="F1019" s="6">
        <v>0.7</v>
      </c>
      <c r="G1019" s="6">
        <v>0</v>
      </c>
      <c r="H1019" s="6">
        <v>0.39</v>
      </c>
      <c r="I1019" s="6">
        <v>0</v>
      </c>
      <c r="J1019" s="6">
        <v>0</v>
      </c>
      <c r="K1019" s="6">
        <v>0.14</v>
      </c>
      <c r="L1019" s="6">
        <v>0.98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8">
        <v>93.7</v>
      </c>
      <c r="U1019" s="7">
        <v>500</v>
      </c>
      <c r="V1019" s="6">
        <v>175</v>
      </c>
      <c r="W1019" s="6">
        <v>32</v>
      </c>
      <c r="X1019" s="6" t="s">
        <v>44</v>
      </c>
      <c r="Y1019" s="6" t="s">
        <v>73</v>
      </c>
      <c r="Z1019" s="6" t="s">
        <v>37</v>
      </c>
      <c r="AA1019" s="6" t="s">
        <v>74</v>
      </c>
      <c r="AB1019" s="6" t="s">
        <v>37</v>
      </c>
      <c r="AC1019" s="6" t="s">
        <v>69</v>
      </c>
      <c r="AD1019" s="26" t="s">
        <v>77</v>
      </c>
      <c r="AE1019" s="7">
        <v>537</v>
      </c>
      <c r="AF1019" s="6">
        <v>602</v>
      </c>
      <c r="AG1019" s="6">
        <v>8.1</v>
      </c>
      <c r="AH1019" s="52" t="s">
        <v>227</v>
      </c>
    </row>
    <row r="1020" ht="13.9" spans="1:34">
      <c r="A1020" s="6" t="s">
        <v>202</v>
      </c>
      <c r="B1020" s="7">
        <v>0</v>
      </c>
      <c r="C1020" s="6">
        <v>0</v>
      </c>
      <c r="D1020" s="6">
        <v>4.12</v>
      </c>
      <c r="E1020" s="6">
        <v>0</v>
      </c>
      <c r="F1020" s="6">
        <v>0.37</v>
      </c>
      <c r="G1020" s="6">
        <v>0</v>
      </c>
      <c r="H1020" s="6">
        <v>0.41</v>
      </c>
      <c r="I1020" s="6">
        <v>0</v>
      </c>
      <c r="J1020" s="6">
        <v>0</v>
      </c>
      <c r="K1020" s="6">
        <v>0.11</v>
      </c>
      <c r="L1020" s="6">
        <v>1.05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8">
        <v>93.94</v>
      </c>
      <c r="U1020" s="7">
        <v>500</v>
      </c>
      <c r="V1020" s="6">
        <v>175</v>
      </c>
      <c r="W1020" s="6">
        <v>32</v>
      </c>
      <c r="X1020" s="6" t="s">
        <v>44</v>
      </c>
      <c r="Y1020" s="6" t="s">
        <v>73</v>
      </c>
      <c r="Z1020" s="6" t="s">
        <v>37</v>
      </c>
      <c r="AA1020" s="6" t="s">
        <v>74</v>
      </c>
      <c r="AB1020" s="6" t="s">
        <v>37</v>
      </c>
      <c r="AC1020" s="6" t="s">
        <v>69</v>
      </c>
      <c r="AD1020" s="26" t="s">
        <v>77</v>
      </c>
      <c r="AE1020" s="7">
        <v>529</v>
      </c>
      <c r="AF1020" s="6">
        <v>591</v>
      </c>
      <c r="AG1020" s="6">
        <v>7.9</v>
      </c>
      <c r="AH1020" s="52" t="s">
        <v>227</v>
      </c>
    </row>
    <row r="1021" ht="13.9" spans="1:34">
      <c r="A1021" s="6" t="s">
        <v>202</v>
      </c>
      <c r="B1021" s="7">
        <v>0</v>
      </c>
      <c r="C1021" s="6">
        <v>0</v>
      </c>
      <c r="D1021" s="6">
        <v>4.17</v>
      </c>
      <c r="E1021" s="6">
        <v>0</v>
      </c>
      <c r="F1021" s="6">
        <v>0.41</v>
      </c>
      <c r="G1021" s="6">
        <v>0</v>
      </c>
      <c r="H1021" s="6">
        <v>0</v>
      </c>
      <c r="I1021" s="6">
        <v>0</v>
      </c>
      <c r="J1021" s="6">
        <v>0</v>
      </c>
      <c r="K1021" s="6">
        <v>0.12</v>
      </c>
      <c r="L1021" s="6">
        <v>1.1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8">
        <v>94.2</v>
      </c>
      <c r="U1021" s="7">
        <v>500</v>
      </c>
      <c r="V1021" s="6">
        <v>175</v>
      </c>
      <c r="W1021" s="6">
        <v>32</v>
      </c>
      <c r="X1021" s="6" t="s">
        <v>44</v>
      </c>
      <c r="Y1021" s="6" t="s">
        <v>73</v>
      </c>
      <c r="Z1021" s="6" t="s">
        <v>37</v>
      </c>
      <c r="AA1021" s="6" t="s">
        <v>74</v>
      </c>
      <c r="AB1021" s="6" t="s">
        <v>37</v>
      </c>
      <c r="AC1021" s="6" t="s">
        <v>69</v>
      </c>
      <c r="AD1021" s="26" t="s">
        <v>77</v>
      </c>
      <c r="AE1021" s="7">
        <v>510</v>
      </c>
      <c r="AF1021" s="6">
        <v>576</v>
      </c>
      <c r="AG1021" s="6">
        <v>8.4</v>
      </c>
      <c r="AH1021" s="52" t="s">
        <v>227</v>
      </c>
    </row>
    <row r="1022" ht="13.9" spans="1:34">
      <c r="A1022" s="6" t="s">
        <v>202</v>
      </c>
      <c r="B1022" s="7">
        <v>0</v>
      </c>
      <c r="C1022" s="6">
        <v>0</v>
      </c>
      <c r="D1022" s="6">
        <v>4.25</v>
      </c>
      <c r="E1022" s="6">
        <v>0</v>
      </c>
      <c r="F1022" s="6">
        <v>1.18</v>
      </c>
      <c r="G1022" s="6">
        <v>0</v>
      </c>
      <c r="H1022" s="6">
        <v>0.43</v>
      </c>
      <c r="I1022" s="6">
        <v>0</v>
      </c>
      <c r="J1022" s="6">
        <v>0</v>
      </c>
      <c r="K1022" s="6">
        <v>0.11</v>
      </c>
      <c r="L1022" s="6">
        <v>1.18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8">
        <v>92.85</v>
      </c>
      <c r="U1022" s="7">
        <v>500</v>
      </c>
      <c r="V1022" s="6">
        <v>25</v>
      </c>
      <c r="W1022" s="6">
        <v>0</v>
      </c>
      <c r="X1022" s="6" t="s">
        <v>44</v>
      </c>
      <c r="Y1022" s="6" t="s">
        <v>73</v>
      </c>
      <c r="Z1022" s="6" t="s">
        <v>37</v>
      </c>
      <c r="AA1022" s="6" t="s">
        <v>80</v>
      </c>
      <c r="AB1022" s="6" t="s">
        <v>37</v>
      </c>
      <c r="AC1022" s="6" t="s">
        <v>69</v>
      </c>
      <c r="AD1022" s="26" t="s">
        <v>86</v>
      </c>
      <c r="AE1022" s="7">
        <v>439</v>
      </c>
      <c r="AF1022" s="6">
        <v>550</v>
      </c>
      <c r="AG1022" s="6">
        <v>10</v>
      </c>
      <c r="AH1022" s="52" t="s">
        <v>227</v>
      </c>
    </row>
    <row r="1023" ht="13.9" spans="1:34">
      <c r="A1023" s="6" t="s">
        <v>202</v>
      </c>
      <c r="B1023" s="7">
        <v>0</v>
      </c>
      <c r="C1023" s="6">
        <v>0</v>
      </c>
      <c r="D1023" s="6">
        <v>4.09</v>
      </c>
      <c r="E1023" s="6">
        <v>0</v>
      </c>
      <c r="F1023" s="6">
        <v>0.7</v>
      </c>
      <c r="G1023" s="6">
        <v>0</v>
      </c>
      <c r="H1023" s="6">
        <v>0.39</v>
      </c>
      <c r="I1023" s="6">
        <v>0</v>
      </c>
      <c r="J1023" s="6">
        <v>0</v>
      </c>
      <c r="K1023" s="6">
        <v>0.14</v>
      </c>
      <c r="L1023" s="6">
        <v>0.98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8">
        <v>93.7</v>
      </c>
      <c r="U1023" s="7">
        <v>500</v>
      </c>
      <c r="V1023" s="6">
        <v>25</v>
      </c>
      <c r="W1023" s="6">
        <v>0</v>
      </c>
      <c r="X1023" s="6" t="s">
        <v>44</v>
      </c>
      <c r="Y1023" s="6" t="s">
        <v>73</v>
      </c>
      <c r="Z1023" s="6" t="s">
        <v>37</v>
      </c>
      <c r="AA1023" s="6" t="s">
        <v>80</v>
      </c>
      <c r="AB1023" s="6" t="s">
        <v>37</v>
      </c>
      <c r="AC1023" s="6" t="s">
        <v>69</v>
      </c>
      <c r="AD1023" s="26" t="s">
        <v>86</v>
      </c>
      <c r="AE1023" s="7">
        <v>408</v>
      </c>
      <c r="AF1023" s="6">
        <v>507</v>
      </c>
      <c r="AG1023" s="6">
        <v>11.2</v>
      </c>
      <c r="AH1023" s="52" t="s">
        <v>227</v>
      </c>
    </row>
    <row r="1024" ht="13.9" spans="1:34">
      <c r="A1024" s="6" t="s">
        <v>202</v>
      </c>
      <c r="B1024" s="7">
        <v>0</v>
      </c>
      <c r="C1024" s="6">
        <v>0</v>
      </c>
      <c r="D1024" s="6">
        <v>4.12</v>
      </c>
      <c r="E1024" s="6">
        <v>0</v>
      </c>
      <c r="F1024" s="6">
        <v>0.37</v>
      </c>
      <c r="G1024" s="6">
        <v>0</v>
      </c>
      <c r="H1024" s="6">
        <v>0.41</v>
      </c>
      <c r="I1024" s="6">
        <v>0</v>
      </c>
      <c r="J1024" s="6">
        <v>0</v>
      </c>
      <c r="K1024" s="6">
        <v>0.11</v>
      </c>
      <c r="L1024" s="6">
        <v>1.05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8">
        <v>93.94</v>
      </c>
      <c r="U1024" s="7">
        <v>500</v>
      </c>
      <c r="V1024" s="6">
        <v>25</v>
      </c>
      <c r="W1024" s="6">
        <v>0</v>
      </c>
      <c r="X1024" s="6" t="s">
        <v>44</v>
      </c>
      <c r="Y1024" s="6" t="s">
        <v>73</v>
      </c>
      <c r="Z1024" s="6" t="s">
        <v>37</v>
      </c>
      <c r="AA1024" s="6" t="s">
        <v>80</v>
      </c>
      <c r="AB1024" s="6" t="s">
        <v>37</v>
      </c>
      <c r="AC1024" s="6" t="s">
        <v>69</v>
      </c>
      <c r="AD1024" s="26" t="s">
        <v>86</v>
      </c>
      <c r="AE1024" s="7">
        <v>383</v>
      </c>
      <c r="AF1024" s="6">
        <v>489</v>
      </c>
      <c r="AG1024" s="6">
        <v>10.1</v>
      </c>
      <c r="AH1024" s="52" t="s">
        <v>227</v>
      </c>
    </row>
    <row r="1025" ht="13.9" spans="1:34">
      <c r="A1025" s="6" t="s">
        <v>202</v>
      </c>
      <c r="B1025" s="7">
        <v>0</v>
      </c>
      <c r="C1025" s="6">
        <v>0</v>
      </c>
      <c r="D1025" s="6">
        <v>4.17</v>
      </c>
      <c r="E1025" s="6">
        <v>0</v>
      </c>
      <c r="F1025" s="6">
        <v>0.41</v>
      </c>
      <c r="G1025" s="6">
        <v>0</v>
      </c>
      <c r="H1025" s="6">
        <v>0</v>
      </c>
      <c r="I1025" s="6">
        <v>0</v>
      </c>
      <c r="J1025" s="6">
        <v>0</v>
      </c>
      <c r="K1025" s="6">
        <v>0.12</v>
      </c>
      <c r="L1025" s="6">
        <v>1.1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8">
        <v>94.2</v>
      </c>
      <c r="U1025" s="7">
        <v>500</v>
      </c>
      <c r="V1025" s="6">
        <v>25</v>
      </c>
      <c r="W1025" s="6">
        <v>0</v>
      </c>
      <c r="X1025" s="6" t="s">
        <v>44</v>
      </c>
      <c r="Y1025" s="6" t="s">
        <v>73</v>
      </c>
      <c r="Z1025" s="6" t="s">
        <v>37</v>
      </c>
      <c r="AA1025" s="6" t="s">
        <v>80</v>
      </c>
      <c r="AB1025" s="6" t="s">
        <v>37</v>
      </c>
      <c r="AC1025" s="6" t="s">
        <v>69</v>
      </c>
      <c r="AD1025" s="26" t="s">
        <v>86</v>
      </c>
      <c r="AE1025" s="7">
        <v>355</v>
      </c>
      <c r="AF1025" s="6">
        <v>486</v>
      </c>
      <c r="AG1025" s="6">
        <v>10.7</v>
      </c>
      <c r="AH1025" s="52" t="s">
        <v>227</v>
      </c>
    </row>
    <row r="1026" s="5" customFormat="1" ht="13.9" spans="1:34">
      <c r="A1026" s="6" t="s">
        <v>202</v>
      </c>
      <c r="B1026" s="7">
        <v>0</v>
      </c>
      <c r="C1026" s="6">
        <v>0</v>
      </c>
      <c r="D1026" s="6">
        <v>0</v>
      </c>
      <c r="E1026" s="6">
        <v>0.32</v>
      </c>
      <c r="F1026" s="6">
        <v>6.02</v>
      </c>
      <c r="G1026" s="6">
        <v>0</v>
      </c>
      <c r="H1026" s="6">
        <v>0</v>
      </c>
      <c r="I1026" s="6">
        <v>0</v>
      </c>
      <c r="J1026" s="6">
        <v>0</v>
      </c>
      <c r="K1026" s="6">
        <v>0.1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0.25</v>
      </c>
      <c r="T1026" s="8">
        <v>93.31</v>
      </c>
      <c r="U1026" s="7">
        <v>25</v>
      </c>
      <c r="V1026" s="6">
        <v>25</v>
      </c>
      <c r="W1026" s="6">
        <v>0</v>
      </c>
      <c r="X1026" s="6" t="s">
        <v>42</v>
      </c>
      <c r="Y1026" s="6" t="s">
        <v>35</v>
      </c>
      <c r="Z1026" s="6" t="s">
        <v>37</v>
      </c>
      <c r="AA1026" s="6" t="s">
        <v>37</v>
      </c>
      <c r="AB1026" s="6" t="s">
        <v>37</v>
      </c>
      <c r="AC1026" s="6" t="s">
        <v>43</v>
      </c>
      <c r="AD1026" s="26" t="s">
        <v>52</v>
      </c>
      <c r="AE1026" s="7">
        <v>446.6</v>
      </c>
      <c r="AF1026" s="6">
        <v>500.6</v>
      </c>
      <c r="AG1026" s="6">
        <v>7.1</v>
      </c>
      <c r="AH1026" s="52" t="s">
        <v>228</v>
      </c>
    </row>
    <row r="1027" s="5" customFormat="1" ht="13.9" spans="1:34">
      <c r="A1027" s="6" t="s">
        <v>202</v>
      </c>
      <c r="B1027" s="7">
        <v>0</v>
      </c>
      <c r="C1027" s="6">
        <v>0</v>
      </c>
      <c r="D1027" s="6">
        <v>0</v>
      </c>
      <c r="E1027" s="6">
        <v>0.32</v>
      </c>
      <c r="F1027" s="6">
        <v>6.02</v>
      </c>
      <c r="G1027" s="6">
        <v>0</v>
      </c>
      <c r="H1027" s="6">
        <v>0</v>
      </c>
      <c r="I1027" s="6">
        <v>0</v>
      </c>
      <c r="J1027" s="6">
        <v>0</v>
      </c>
      <c r="K1027" s="6">
        <v>0.1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0.25</v>
      </c>
      <c r="T1027" s="8">
        <v>93.31</v>
      </c>
      <c r="U1027" s="7">
        <v>100</v>
      </c>
      <c r="V1027" s="6">
        <v>25</v>
      </c>
      <c r="W1027" s="6">
        <v>0</v>
      </c>
      <c r="X1027" s="6" t="s">
        <v>42</v>
      </c>
      <c r="Y1027" s="6" t="s">
        <v>50</v>
      </c>
      <c r="Z1027" s="6" t="s">
        <v>37</v>
      </c>
      <c r="AA1027" s="6" t="s">
        <v>37</v>
      </c>
      <c r="AB1027" s="6" t="s">
        <v>37</v>
      </c>
      <c r="AC1027" s="6" t="s">
        <v>43</v>
      </c>
      <c r="AD1027" s="26" t="s">
        <v>57</v>
      </c>
      <c r="AE1027" s="7">
        <v>400.6</v>
      </c>
      <c r="AF1027" s="6">
        <v>479.2</v>
      </c>
      <c r="AG1027" s="6">
        <v>9.2</v>
      </c>
      <c r="AH1027" s="52" t="s">
        <v>228</v>
      </c>
    </row>
    <row r="1028" ht="13.9" spans="1:34">
      <c r="A1028" s="6" t="s">
        <v>202</v>
      </c>
      <c r="B1028" s="7">
        <v>0</v>
      </c>
      <c r="C1028" s="6">
        <v>0</v>
      </c>
      <c r="D1028" s="6">
        <v>0</v>
      </c>
      <c r="E1028" s="6">
        <v>0.32</v>
      </c>
      <c r="F1028" s="6">
        <v>6.02</v>
      </c>
      <c r="G1028" s="6">
        <v>0</v>
      </c>
      <c r="H1028" s="6">
        <v>0</v>
      </c>
      <c r="I1028" s="6">
        <v>0</v>
      </c>
      <c r="J1028" s="6">
        <v>0</v>
      </c>
      <c r="K1028" s="6">
        <v>0.1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0.25</v>
      </c>
      <c r="T1028" s="8">
        <v>93.31</v>
      </c>
      <c r="U1028" s="7">
        <v>175</v>
      </c>
      <c r="V1028" s="6">
        <v>25</v>
      </c>
      <c r="W1028" s="6">
        <v>0</v>
      </c>
      <c r="X1028" s="6" t="s">
        <v>42</v>
      </c>
      <c r="Y1028" s="6" t="s">
        <v>50</v>
      </c>
      <c r="Z1028" s="6" t="s">
        <v>37</v>
      </c>
      <c r="AA1028" s="6" t="s">
        <v>37</v>
      </c>
      <c r="AB1028" s="6" t="s">
        <v>37</v>
      </c>
      <c r="AC1028" s="6" t="s">
        <v>43</v>
      </c>
      <c r="AD1028" s="26" t="s">
        <v>57</v>
      </c>
      <c r="AE1028" s="7">
        <v>355.7</v>
      </c>
      <c r="AF1028" s="6">
        <v>461.6</v>
      </c>
      <c r="AG1028" s="6">
        <v>11.3</v>
      </c>
      <c r="AH1028" s="52" t="s">
        <v>228</v>
      </c>
    </row>
    <row r="1029" ht="13.9" spans="1:34">
      <c r="A1029" s="6" t="s">
        <v>202</v>
      </c>
      <c r="B1029" s="7">
        <v>0</v>
      </c>
      <c r="C1029" s="6">
        <v>0</v>
      </c>
      <c r="D1029" s="6">
        <v>0</v>
      </c>
      <c r="E1029" s="6">
        <v>0.32</v>
      </c>
      <c r="F1029" s="6">
        <v>6.02</v>
      </c>
      <c r="G1029" s="6">
        <v>0</v>
      </c>
      <c r="H1029" s="6">
        <v>0</v>
      </c>
      <c r="I1029" s="6">
        <v>0</v>
      </c>
      <c r="J1029" s="6">
        <v>0</v>
      </c>
      <c r="K1029" s="6">
        <v>0.1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0.25</v>
      </c>
      <c r="T1029" s="8">
        <v>93.31</v>
      </c>
      <c r="U1029" s="7">
        <v>200</v>
      </c>
      <c r="V1029" s="6">
        <v>25</v>
      </c>
      <c r="W1029" s="6">
        <v>0</v>
      </c>
      <c r="X1029" s="6" t="s">
        <v>42</v>
      </c>
      <c r="Y1029" s="6" t="s">
        <v>50</v>
      </c>
      <c r="Z1029" s="6" t="s">
        <v>37</v>
      </c>
      <c r="AA1029" s="6" t="s">
        <v>37</v>
      </c>
      <c r="AB1029" s="6" t="s">
        <v>37</v>
      </c>
      <c r="AC1029" s="6" t="s">
        <v>43</v>
      </c>
      <c r="AD1029" s="26" t="s">
        <v>57</v>
      </c>
      <c r="AE1029" s="7">
        <v>338.8</v>
      </c>
      <c r="AF1029" s="6">
        <v>457.8</v>
      </c>
      <c r="AG1029" s="6">
        <v>12</v>
      </c>
      <c r="AH1029" s="52" t="s">
        <v>228</v>
      </c>
    </row>
    <row r="1030" ht="13.9" spans="1:34">
      <c r="A1030" s="6" t="s">
        <v>202</v>
      </c>
      <c r="B1030" s="7">
        <v>0</v>
      </c>
      <c r="C1030" s="6">
        <v>0</v>
      </c>
      <c r="D1030" s="6">
        <v>0</v>
      </c>
      <c r="E1030" s="6">
        <v>0.32</v>
      </c>
      <c r="F1030" s="6">
        <v>6.02</v>
      </c>
      <c r="G1030" s="6">
        <v>0</v>
      </c>
      <c r="H1030" s="6">
        <v>0</v>
      </c>
      <c r="I1030" s="6">
        <v>0</v>
      </c>
      <c r="J1030" s="6">
        <v>0</v>
      </c>
      <c r="K1030" s="6">
        <v>0.1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0.25</v>
      </c>
      <c r="T1030" s="8">
        <v>93.31</v>
      </c>
      <c r="U1030" s="7">
        <v>225</v>
      </c>
      <c r="V1030" s="6">
        <v>25</v>
      </c>
      <c r="W1030" s="6">
        <v>0</v>
      </c>
      <c r="X1030" s="6" t="s">
        <v>42</v>
      </c>
      <c r="Y1030" s="6" t="s">
        <v>50</v>
      </c>
      <c r="Z1030" s="6" t="s">
        <v>37</v>
      </c>
      <c r="AA1030" s="6" t="s">
        <v>37</v>
      </c>
      <c r="AB1030" s="6" t="s">
        <v>37</v>
      </c>
      <c r="AC1030" s="6" t="s">
        <v>43</v>
      </c>
      <c r="AD1030" s="26" t="s">
        <v>57</v>
      </c>
      <c r="AE1030" s="7">
        <v>335</v>
      </c>
      <c r="AF1030" s="6">
        <v>451.3</v>
      </c>
      <c r="AG1030" s="6">
        <v>12.7</v>
      </c>
      <c r="AH1030" s="52" t="s">
        <v>228</v>
      </c>
    </row>
    <row r="1031" ht="13.9" spans="1:34">
      <c r="A1031" s="6" t="s">
        <v>202</v>
      </c>
      <c r="B1031" s="7">
        <v>0</v>
      </c>
      <c r="C1031" s="6">
        <v>0</v>
      </c>
      <c r="D1031" s="6">
        <v>0</v>
      </c>
      <c r="E1031" s="6">
        <v>0.32</v>
      </c>
      <c r="F1031" s="6">
        <v>6.02</v>
      </c>
      <c r="G1031" s="6">
        <v>0</v>
      </c>
      <c r="H1031" s="6">
        <v>0</v>
      </c>
      <c r="I1031" s="6">
        <v>0</v>
      </c>
      <c r="J1031" s="6">
        <v>0</v>
      </c>
      <c r="K1031" s="6">
        <v>0.1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0.25</v>
      </c>
      <c r="T1031" s="8">
        <v>93.31</v>
      </c>
      <c r="U1031" s="7">
        <v>250</v>
      </c>
      <c r="V1031" s="6">
        <v>25</v>
      </c>
      <c r="W1031" s="6">
        <v>0</v>
      </c>
      <c r="X1031" s="6" t="s">
        <v>42</v>
      </c>
      <c r="Y1031" s="6" t="s">
        <v>50</v>
      </c>
      <c r="Z1031" s="6" t="s">
        <v>37</v>
      </c>
      <c r="AA1031" s="6" t="s">
        <v>37</v>
      </c>
      <c r="AB1031" s="6" t="s">
        <v>37</v>
      </c>
      <c r="AC1031" s="6" t="s">
        <v>43</v>
      </c>
      <c r="AD1031" s="26" t="s">
        <v>57</v>
      </c>
      <c r="AE1031" s="7">
        <v>331.7</v>
      </c>
      <c r="AF1031" s="6">
        <v>444.3</v>
      </c>
      <c r="AG1031" s="6">
        <v>13.4</v>
      </c>
      <c r="AH1031" s="52" t="s">
        <v>228</v>
      </c>
    </row>
    <row r="1032" ht="13.9" spans="1:34">
      <c r="A1032" s="6" t="s">
        <v>202</v>
      </c>
      <c r="B1032" s="7">
        <v>0</v>
      </c>
      <c r="C1032" s="6">
        <v>0</v>
      </c>
      <c r="D1032" s="6">
        <v>0</v>
      </c>
      <c r="E1032" s="6">
        <v>0.32</v>
      </c>
      <c r="F1032" s="6">
        <v>6.02</v>
      </c>
      <c r="G1032" s="6">
        <v>0</v>
      </c>
      <c r="H1032" s="6">
        <v>0</v>
      </c>
      <c r="I1032" s="6">
        <v>0</v>
      </c>
      <c r="J1032" s="6">
        <v>0</v>
      </c>
      <c r="K1032" s="6">
        <v>0.1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0.25</v>
      </c>
      <c r="T1032" s="8">
        <v>93.31</v>
      </c>
      <c r="U1032" s="7">
        <v>300</v>
      </c>
      <c r="V1032" s="6">
        <v>25</v>
      </c>
      <c r="W1032" s="6">
        <v>0</v>
      </c>
      <c r="X1032" s="6" t="s">
        <v>42</v>
      </c>
      <c r="Y1032" s="6" t="s">
        <v>50</v>
      </c>
      <c r="Z1032" s="6" t="s">
        <v>37</v>
      </c>
      <c r="AA1032" s="6" t="s">
        <v>37</v>
      </c>
      <c r="AB1032" s="6" t="s">
        <v>37</v>
      </c>
      <c r="AC1032" s="6" t="s">
        <v>43</v>
      </c>
      <c r="AD1032" s="26" t="s">
        <v>57</v>
      </c>
      <c r="AE1032" s="7">
        <v>315.9</v>
      </c>
      <c r="AF1032" s="6">
        <v>422.6</v>
      </c>
      <c r="AG1032" s="6">
        <v>15.4</v>
      </c>
      <c r="AH1032" s="52" t="s">
        <v>228</v>
      </c>
    </row>
    <row r="1033" ht="13.9" spans="1:34">
      <c r="A1033" s="6" t="s">
        <v>202</v>
      </c>
      <c r="B1033" s="7">
        <v>0</v>
      </c>
      <c r="C1033" s="6">
        <v>0</v>
      </c>
      <c r="D1033" s="6">
        <v>0</v>
      </c>
      <c r="E1033" s="6">
        <v>0.32</v>
      </c>
      <c r="F1033" s="6">
        <v>6.02</v>
      </c>
      <c r="G1033" s="6">
        <v>0</v>
      </c>
      <c r="H1033" s="6">
        <v>0</v>
      </c>
      <c r="I1033" s="6">
        <v>0</v>
      </c>
      <c r="J1033" s="6">
        <v>0</v>
      </c>
      <c r="K1033" s="6">
        <v>0.1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0.25</v>
      </c>
      <c r="T1033" s="8">
        <v>93.31</v>
      </c>
      <c r="U1033" s="7">
        <v>350</v>
      </c>
      <c r="V1033" s="6">
        <v>25</v>
      </c>
      <c r="W1033" s="6">
        <v>0</v>
      </c>
      <c r="X1033" s="6" t="s">
        <v>42</v>
      </c>
      <c r="Y1033" s="6" t="s">
        <v>50</v>
      </c>
      <c r="Z1033" s="6" t="s">
        <v>37</v>
      </c>
      <c r="AA1033" s="6" t="s">
        <v>37</v>
      </c>
      <c r="AB1033" s="6" t="s">
        <v>37</v>
      </c>
      <c r="AC1033" s="6" t="s">
        <v>43</v>
      </c>
      <c r="AD1033" s="26" t="s">
        <v>57</v>
      </c>
      <c r="AE1033" s="7">
        <v>252.3</v>
      </c>
      <c r="AF1033" s="6">
        <v>379.4</v>
      </c>
      <c r="AG1033" s="6">
        <v>22.2</v>
      </c>
      <c r="AH1033" s="52" t="s">
        <v>228</v>
      </c>
    </row>
    <row r="1034" ht="13.9" spans="1:34">
      <c r="A1034" s="6" t="s">
        <v>202</v>
      </c>
      <c r="B1034" s="7">
        <v>0</v>
      </c>
      <c r="C1034" s="6">
        <v>0</v>
      </c>
      <c r="D1034" s="6">
        <v>0</v>
      </c>
      <c r="E1034" s="6">
        <v>0.32</v>
      </c>
      <c r="F1034" s="6">
        <v>6.02</v>
      </c>
      <c r="G1034" s="6">
        <v>0</v>
      </c>
      <c r="H1034" s="6">
        <v>0</v>
      </c>
      <c r="I1034" s="6">
        <v>0</v>
      </c>
      <c r="J1034" s="6">
        <v>0</v>
      </c>
      <c r="K1034" s="6">
        <v>0.1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0.25</v>
      </c>
      <c r="T1034" s="8">
        <v>93.31</v>
      </c>
      <c r="U1034" s="7">
        <v>400</v>
      </c>
      <c r="V1034" s="6">
        <v>25</v>
      </c>
      <c r="W1034" s="6">
        <v>0</v>
      </c>
      <c r="X1034" s="6" t="s">
        <v>42</v>
      </c>
      <c r="Y1034" s="6" t="s">
        <v>50</v>
      </c>
      <c r="Z1034" s="6" t="s">
        <v>37</v>
      </c>
      <c r="AA1034" s="6" t="s">
        <v>37</v>
      </c>
      <c r="AB1034" s="6" t="s">
        <v>37</v>
      </c>
      <c r="AC1034" s="6" t="s">
        <v>43</v>
      </c>
      <c r="AD1034" s="26" t="s">
        <v>57</v>
      </c>
      <c r="AE1034" s="7">
        <v>219.2</v>
      </c>
      <c r="AF1034" s="6">
        <v>376.7</v>
      </c>
      <c r="AG1034" s="6">
        <v>22.8</v>
      </c>
      <c r="AH1034" s="52" t="s">
        <v>228</v>
      </c>
    </row>
    <row r="1035" ht="13.9" spans="1:34">
      <c r="A1035" s="6" t="s">
        <v>202</v>
      </c>
      <c r="B1035" s="7">
        <v>0</v>
      </c>
      <c r="C1035" s="6">
        <v>0</v>
      </c>
      <c r="D1035" s="6">
        <v>2.24</v>
      </c>
      <c r="E1035" s="6">
        <v>0</v>
      </c>
      <c r="F1035" s="6">
        <v>1.93</v>
      </c>
      <c r="G1035" s="6">
        <v>0</v>
      </c>
      <c r="H1035" s="6">
        <v>7.81</v>
      </c>
      <c r="I1035" s="6">
        <v>0</v>
      </c>
      <c r="J1035" s="6">
        <v>0</v>
      </c>
      <c r="K1035" s="6">
        <v>0.16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0.25</v>
      </c>
      <c r="T1035" s="8">
        <v>87.61</v>
      </c>
      <c r="U1035" s="7">
        <v>470</v>
      </c>
      <c r="V1035" s="6">
        <v>120</v>
      </c>
      <c r="W1035" s="6">
        <v>24</v>
      </c>
      <c r="X1035" s="6" t="s">
        <v>42</v>
      </c>
      <c r="Y1035" s="6" t="s">
        <v>73</v>
      </c>
      <c r="Z1035" s="6" t="s">
        <v>37</v>
      </c>
      <c r="AA1035" s="6" t="s">
        <v>74</v>
      </c>
      <c r="AB1035" s="6" t="s">
        <v>37</v>
      </c>
      <c r="AC1035" s="6" t="s">
        <v>43</v>
      </c>
      <c r="AD1035" s="26" t="s">
        <v>77</v>
      </c>
      <c r="AE1035" s="7">
        <v>600</v>
      </c>
      <c r="AF1035" s="6">
        <v>679</v>
      </c>
      <c r="AG1035" s="6">
        <v>14</v>
      </c>
      <c r="AH1035" s="52" t="s">
        <v>229</v>
      </c>
    </row>
    <row r="1036" ht="13.9" spans="1:34">
      <c r="A1036" s="6" t="s">
        <v>202</v>
      </c>
      <c r="B1036" s="7">
        <v>0</v>
      </c>
      <c r="C1036" s="6">
        <v>0</v>
      </c>
      <c r="D1036" s="6">
        <v>2.24</v>
      </c>
      <c r="E1036" s="6">
        <v>0</v>
      </c>
      <c r="F1036" s="6">
        <v>1.95</v>
      </c>
      <c r="G1036" s="6">
        <v>0</v>
      </c>
      <c r="H1036" s="6">
        <v>7.82</v>
      </c>
      <c r="I1036" s="6">
        <v>0</v>
      </c>
      <c r="J1036" s="6">
        <v>0</v>
      </c>
      <c r="K1036" s="6">
        <v>0.16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8">
        <v>87.83</v>
      </c>
      <c r="U1036" s="7">
        <v>470</v>
      </c>
      <c r="V1036" s="6">
        <v>120</v>
      </c>
      <c r="W1036" s="6">
        <v>24</v>
      </c>
      <c r="X1036" s="6" t="s">
        <v>42</v>
      </c>
      <c r="Y1036" s="6" t="s">
        <v>73</v>
      </c>
      <c r="Z1036" s="6" t="s">
        <v>37</v>
      </c>
      <c r="AA1036" s="6" t="s">
        <v>74</v>
      </c>
      <c r="AB1036" s="6" t="s">
        <v>37</v>
      </c>
      <c r="AC1036" s="6" t="s">
        <v>43</v>
      </c>
      <c r="AD1036" s="26" t="s">
        <v>77</v>
      </c>
      <c r="AE1036" s="7">
        <v>577</v>
      </c>
      <c r="AF1036" s="6">
        <v>654</v>
      </c>
      <c r="AG1036" s="6">
        <v>13</v>
      </c>
      <c r="AH1036" s="52" t="s">
        <v>229</v>
      </c>
    </row>
    <row r="1037" ht="13.9" spans="1:34">
      <c r="A1037" s="6" t="s">
        <v>202</v>
      </c>
      <c r="B1037" s="7">
        <v>0</v>
      </c>
      <c r="C1037" s="6">
        <v>0</v>
      </c>
      <c r="D1037" s="6">
        <v>2.24</v>
      </c>
      <c r="E1037" s="6">
        <v>0</v>
      </c>
      <c r="F1037" s="6">
        <v>1.93</v>
      </c>
      <c r="G1037" s="6">
        <v>0</v>
      </c>
      <c r="H1037" s="6">
        <v>7.81</v>
      </c>
      <c r="I1037" s="6">
        <v>0</v>
      </c>
      <c r="J1037" s="6">
        <v>0</v>
      </c>
      <c r="K1037" s="6">
        <v>0.16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0.25</v>
      </c>
      <c r="T1037" s="8">
        <v>87.61</v>
      </c>
      <c r="U1037" s="7">
        <v>470</v>
      </c>
      <c r="V1037" s="6">
        <v>150</v>
      </c>
      <c r="W1037" s="6">
        <v>8</v>
      </c>
      <c r="X1037" s="6" t="s">
        <v>42</v>
      </c>
      <c r="Y1037" s="6" t="s">
        <v>73</v>
      </c>
      <c r="Z1037" s="6" t="s">
        <v>37</v>
      </c>
      <c r="AA1037" s="6" t="s">
        <v>74</v>
      </c>
      <c r="AB1037" s="6" t="s">
        <v>37</v>
      </c>
      <c r="AC1037" s="6" t="s">
        <v>43</v>
      </c>
      <c r="AD1037" s="26" t="s">
        <v>77</v>
      </c>
      <c r="AE1037" s="7">
        <v>611</v>
      </c>
      <c r="AF1037" s="6">
        <v>648</v>
      </c>
      <c r="AG1037" s="6">
        <v>12</v>
      </c>
      <c r="AH1037" s="52" t="s">
        <v>229</v>
      </c>
    </row>
    <row r="1038" ht="13.9" spans="1:34">
      <c r="A1038" s="6" t="s">
        <v>202</v>
      </c>
      <c r="B1038" s="7">
        <v>0</v>
      </c>
      <c r="C1038" s="6">
        <v>0</v>
      </c>
      <c r="D1038" s="6">
        <v>2.24</v>
      </c>
      <c r="E1038" s="6">
        <v>0</v>
      </c>
      <c r="F1038" s="6">
        <v>1.93</v>
      </c>
      <c r="G1038" s="6">
        <v>0</v>
      </c>
      <c r="H1038" s="6">
        <v>7.81</v>
      </c>
      <c r="I1038" s="6">
        <v>0</v>
      </c>
      <c r="J1038" s="6">
        <v>0</v>
      </c>
      <c r="K1038" s="6">
        <v>0.16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0.25</v>
      </c>
      <c r="T1038" s="8">
        <v>87.61</v>
      </c>
      <c r="U1038" s="7">
        <v>470</v>
      </c>
      <c r="V1038" s="6">
        <v>150</v>
      </c>
      <c r="W1038" s="6">
        <v>30</v>
      </c>
      <c r="X1038" s="6" t="s">
        <v>42</v>
      </c>
      <c r="Y1038" s="6" t="s">
        <v>73</v>
      </c>
      <c r="Z1038" s="6" t="s">
        <v>37</v>
      </c>
      <c r="AA1038" s="6" t="s">
        <v>74</v>
      </c>
      <c r="AB1038" s="6" t="s">
        <v>37</v>
      </c>
      <c r="AC1038" s="6" t="s">
        <v>43</v>
      </c>
      <c r="AD1038" s="26" t="s">
        <v>77</v>
      </c>
      <c r="AE1038" s="7">
        <v>602</v>
      </c>
      <c r="AF1038" s="6">
        <v>628</v>
      </c>
      <c r="AG1038" s="6">
        <v>12</v>
      </c>
      <c r="AH1038" s="52" t="s">
        <v>229</v>
      </c>
    </row>
    <row r="1039" ht="13.9" spans="1:34">
      <c r="A1039" s="6" t="s">
        <v>202</v>
      </c>
      <c r="B1039" s="7">
        <v>0</v>
      </c>
      <c r="C1039" s="6">
        <v>0</v>
      </c>
      <c r="D1039" s="6">
        <v>2.24</v>
      </c>
      <c r="E1039" s="6">
        <v>0</v>
      </c>
      <c r="F1039" s="6">
        <v>1.95</v>
      </c>
      <c r="G1039" s="6">
        <v>0</v>
      </c>
      <c r="H1039" s="6">
        <v>7.82</v>
      </c>
      <c r="I1039" s="6">
        <v>0</v>
      </c>
      <c r="J1039" s="6">
        <v>0</v>
      </c>
      <c r="K1039" s="6">
        <v>0.16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8">
        <v>87.83</v>
      </c>
      <c r="U1039" s="7">
        <v>470</v>
      </c>
      <c r="V1039" s="6">
        <v>150</v>
      </c>
      <c r="W1039" s="6">
        <v>8</v>
      </c>
      <c r="X1039" s="6" t="s">
        <v>42</v>
      </c>
      <c r="Y1039" s="6" t="s">
        <v>73</v>
      </c>
      <c r="Z1039" s="6" t="s">
        <v>37</v>
      </c>
      <c r="AA1039" s="6" t="s">
        <v>74</v>
      </c>
      <c r="AB1039" s="6" t="s">
        <v>37</v>
      </c>
      <c r="AC1039" s="6" t="s">
        <v>43</v>
      </c>
      <c r="AD1039" s="26" t="s">
        <v>77</v>
      </c>
      <c r="AE1039" s="7">
        <v>589</v>
      </c>
      <c r="AF1039" s="6">
        <v>627</v>
      </c>
      <c r="AG1039" s="6">
        <v>8</v>
      </c>
      <c r="AH1039" s="52" t="s">
        <v>229</v>
      </c>
    </row>
    <row r="1040" ht="13.9" spans="1:34">
      <c r="A1040" s="6" t="s">
        <v>202</v>
      </c>
      <c r="B1040" s="7">
        <v>0</v>
      </c>
      <c r="C1040" s="6">
        <v>0</v>
      </c>
      <c r="D1040" s="6">
        <v>2.24</v>
      </c>
      <c r="E1040" s="6">
        <v>0</v>
      </c>
      <c r="F1040" s="6">
        <v>1.95</v>
      </c>
      <c r="G1040" s="6">
        <v>0</v>
      </c>
      <c r="H1040" s="6">
        <v>7.82</v>
      </c>
      <c r="I1040" s="6">
        <v>0</v>
      </c>
      <c r="J1040" s="6">
        <v>0</v>
      </c>
      <c r="K1040" s="6">
        <v>0.16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8">
        <v>87.83</v>
      </c>
      <c r="U1040" s="7">
        <v>470</v>
      </c>
      <c r="V1040" s="6">
        <v>150</v>
      </c>
      <c r="W1040" s="6">
        <v>30</v>
      </c>
      <c r="X1040" s="6" t="s">
        <v>42</v>
      </c>
      <c r="Y1040" s="6" t="s">
        <v>73</v>
      </c>
      <c r="Z1040" s="6" t="s">
        <v>37</v>
      </c>
      <c r="AA1040" s="6" t="s">
        <v>74</v>
      </c>
      <c r="AB1040" s="6" t="s">
        <v>37</v>
      </c>
      <c r="AC1040" s="6" t="s">
        <v>43</v>
      </c>
      <c r="AD1040" s="26" t="s">
        <v>77</v>
      </c>
      <c r="AE1040" s="7">
        <v>557</v>
      </c>
      <c r="AF1040" s="6">
        <v>585</v>
      </c>
      <c r="AG1040" s="6">
        <v>10</v>
      </c>
      <c r="AH1040" s="52" t="s">
        <v>229</v>
      </c>
    </row>
    <row r="1041" ht="13.9" spans="1:34">
      <c r="A1041" s="6" t="s">
        <v>202</v>
      </c>
      <c r="B1041" s="7">
        <v>0.64</v>
      </c>
      <c r="C1041" s="6">
        <v>0.08</v>
      </c>
      <c r="D1041" s="6">
        <v>0.31</v>
      </c>
      <c r="E1041" s="6">
        <v>0</v>
      </c>
      <c r="F1041" s="6">
        <v>1.1</v>
      </c>
      <c r="G1041" s="6">
        <v>0</v>
      </c>
      <c r="H1041" s="6">
        <v>0</v>
      </c>
      <c r="I1041" s="6">
        <v>0</v>
      </c>
      <c r="J1041" s="6">
        <v>0.07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8">
        <v>97.8</v>
      </c>
      <c r="U1041" s="7">
        <v>570</v>
      </c>
      <c r="V1041" s="6">
        <v>180</v>
      </c>
      <c r="W1041" s="6">
        <v>6</v>
      </c>
      <c r="X1041" s="6" t="s">
        <v>42</v>
      </c>
      <c r="Y1041" s="6" t="s">
        <v>73</v>
      </c>
      <c r="Z1041" s="6" t="s">
        <v>37</v>
      </c>
      <c r="AA1041" s="6" t="s">
        <v>74</v>
      </c>
      <c r="AB1041" s="6" t="s">
        <v>37</v>
      </c>
      <c r="AC1041" s="6" t="s">
        <v>43</v>
      </c>
      <c r="AD1041" s="26" t="s">
        <v>77</v>
      </c>
      <c r="AE1041" s="7">
        <v>312.8</v>
      </c>
      <c r="AF1041" s="6">
        <v>345.9</v>
      </c>
      <c r="AG1041" s="6">
        <v>11.4</v>
      </c>
      <c r="AH1041" s="52" t="s">
        <v>230</v>
      </c>
    </row>
    <row r="1042" ht="13.9" spans="1:34">
      <c r="A1042" s="6" t="s">
        <v>202</v>
      </c>
      <c r="B1042" s="7">
        <v>0.61</v>
      </c>
      <c r="C1042" s="6">
        <v>0.07</v>
      </c>
      <c r="D1042" s="6">
        <v>0</v>
      </c>
      <c r="E1042" s="6">
        <v>0</v>
      </c>
      <c r="F1042" s="6">
        <v>1.13</v>
      </c>
      <c r="G1042" s="6">
        <v>0</v>
      </c>
      <c r="H1042" s="6">
        <v>0</v>
      </c>
      <c r="I1042" s="6">
        <v>0</v>
      </c>
      <c r="J1042" s="6">
        <v>0.07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8">
        <v>98.12</v>
      </c>
      <c r="U1042" s="7">
        <v>570</v>
      </c>
      <c r="V1042" s="6">
        <v>180</v>
      </c>
      <c r="W1042" s="6">
        <v>6</v>
      </c>
      <c r="X1042" s="6" t="s">
        <v>42</v>
      </c>
      <c r="Y1042" s="6" t="s">
        <v>73</v>
      </c>
      <c r="Z1042" s="6" t="s">
        <v>37</v>
      </c>
      <c r="AA1042" s="6" t="s">
        <v>74</v>
      </c>
      <c r="AB1042" s="6" t="s">
        <v>37</v>
      </c>
      <c r="AC1042" s="6" t="s">
        <v>43</v>
      </c>
      <c r="AD1042" s="26" t="s">
        <v>77</v>
      </c>
      <c r="AE1042" s="7">
        <v>279.3</v>
      </c>
      <c r="AF1042" s="6">
        <v>302</v>
      </c>
      <c r="AG1042" s="6">
        <v>8.1</v>
      </c>
      <c r="AH1042" s="52" t="s">
        <v>230</v>
      </c>
    </row>
    <row r="1043" ht="13.9" spans="1:34">
      <c r="A1043" s="6" t="s">
        <v>202</v>
      </c>
      <c r="B1043" s="7">
        <v>0.05</v>
      </c>
      <c r="C1043" s="6">
        <v>0.05</v>
      </c>
      <c r="D1043" s="6">
        <v>1.02</v>
      </c>
      <c r="E1043" s="6">
        <v>0.33</v>
      </c>
      <c r="F1043" s="6">
        <v>1.43</v>
      </c>
      <c r="G1043" s="6">
        <v>0</v>
      </c>
      <c r="H1043" s="6">
        <v>3.56</v>
      </c>
      <c r="I1043" s="6">
        <v>0</v>
      </c>
      <c r="J1043" s="6">
        <v>0</v>
      </c>
      <c r="K1043" s="6">
        <v>0.12</v>
      </c>
      <c r="L1043" s="6">
        <v>2.12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8">
        <f t="shared" ref="T1043:T1049" si="37">100-SUM(B1043:S1043)</f>
        <v>91.32</v>
      </c>
      <c r="U1043" s="7">
        <v>525</v>
      </c>
      <c r="V1043" s="6">
        <v>160</v>
      </c>
      <c r="W1043" s="6">
        <v>46</v>
      </c>
      <c r="X1043" s="6" t="s">
        <v>42</v>
      </c>
      <c r="Y1043" s="6" t="s">
        <v>73</v>
      </c>
      <c r="Z1043" s="6" t="s">
        <v>37</v>
      </c>
      <c r="AA1043" s="6" t="s">
        <v>74</v>
      </c>
      <c r="AB1043" s="6" t="s">
        <v>37</v>
      </c>
      <c r="AC1043" s="6" t="s">
        <v>43</v>
      </c>
      <c r="AD1043" s="26" t="s">
        <v>77</v>
      </c>
      <c r="AE1043" s="7">
        <v>368</v>
      </c>
      <c r="AF1043" s="6">
        <v>502</v>
      </c>
      <c r="AG1043" s="10">
        <v>9.6</v>
      </c>
      <c r="AH1043" s="53" t="s">
        <v>231</v>
      </c>
    </row>
    <row r="1044" ht="13.9" spans="1:34">
      <c r="A1044" s="6" t="s">
        <v>202</v>
      </c>
      <c r="B1044" s="7">
        <v>0.05</v>
      </c>
      <c r="C1044" s="6">
        <v>0.05</v>
      </c>
      <c r="D1044" s="6">
        <v>0.98</v>
      </c>
      <c r="E1044" s="6">
        <v>0.32</v>
      </c>
      <c r="F1044" s="6">
        <v>1.45</v>
      </c>
      <c r="G1044" s="6">
        <v>0</v>
      </c>
      <c r="H1044" s="6">
        <v>2.88</v>
      </c>
      <c r="I1044" s="6">
        <v>0</v>
      </c>
      <c r="J1044" s="6">
        <v>0</v>
      </c>
      <c r="K1044" s="6">
        <v>0.11</v>
      </c>
      <c r="L1044" s="6">
        <v>1.81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8">
        <f t="shared" si="37"/>
        <v>92.35</v>
      </c>
      <c r="U1044" s="7">
        <v>525</v>
      </c>
      <c r="V1044" s="6">
        <v>160</v>
      </c>
      <c r="W1044" s="6">
        <v>40</v>
      </c>
      <c r="X1044" s="6" t="s">
        <v>42</v>
      </c>
      <c r="Y1044" s="6" t="s">
        <v>73</v>
      </c>
      <c r="Z1044" s="6" t="s">
        <v>37</v>
      </c>
      <c r="AA1044" s="6" t="s">
        <v>74</v>
      </c>
      <c r="AB1044" s="6" t="s">
        <v>37</v>
      </c>
      <c r="AC1044" s="6" t="s">
        <v>43</v>
      </c>
      <c r="AD1044" s="26" t="s">
        <v>77</v>
      </c>
      <c r="AE1044" s="7">
        <v>355</v>
      </c>
      <c r="AF1044" s="6">
        <v>458</v>
      </c>
      <c r="AG1044" s="10">
        <v>9.1</v>
      </c>
      <c r="AH1044" s="53" t="s">
        <v>231</v>
      </c>
    </row>
    <row r="1045" ht="13.9" spans="1:34">
      <c r="A1045" s="6" t="s">
        <v>202</v>
      </c>
      <c r="B1045" s="7">
        <v>0.05</v>
      </c>
      <c r="C1045" s="6">
        <v>0.05</v>
      </c>
      <c r="D1045" s="6">
        <v>1.02</v>
      </c>
      <c r="E1045" s="6">
        <v>0.31</v>
      </c>
      <c r="F1045" s="6">
        <v>1.62</v>
      </c>
      <c r="G1045" s="6">
        <v>0</v>
      </c>
      <c r="H1045" s="6">
        <v>3.94</v>
      </c>
      <c r="I1045" s="6">
        <v>0</v>
      </c>
      <c r="J1045" s="6">
        <v>0</v>
      </c>
      <c r="K1045" s="6">
        <v>0.12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8">
        <f t="shared" si="37"/>
        <v>92.89</v>
      </c>
      <c r="U1045" s="7">
        <v>525</v>
      </c>
      <c r="V1045" s="6">
        <v>100</v>
      </c>
      <c r="W1045" s="6">
        <v>76</v>
      </c>
      <c r="X1045" s="6" t="s">
        <v>42</v>
      </c>
      <c r="Y1045" s="6" t="s">
        <v>73</v>
      </c>
      <c r="Z1045" s="6" t="s">
        <v>37</v>
      </c>
      <c r="AA1045" s="6" t="s">
        <v>74</v>
      </c>
      <c r="AB1045" s="6" t="s">
        <v>37</v>
      </c>
      <c r="AC1045" s="6" t="s">
        <v>43</v>
      </c>
      <c r="AD1045" s="26" t="s">
        <v>77</v>
      </c>
      <c r="AE1045" s="7">
        <v>327</v>
      </c>
      <c r="AF1045" s="6">
        <v>398</v>
      </c>
      <c r="AG1045" s="10">
        <v>22.3</v>
      </c>
      <c r="AH1045" s="53" t="s">
        <v>231</v>
      </c>
    </row>
    <row r="1046" ht="13.9" spans="1:34">
      <c r="A1046" s="6" t="s">
        <v>202</v>
      </c>
      <c r="B1046" s="7">
        <v>0</v>
      </c>
      <c r="C1046" s="6">
        <v>1</v>
      </c>
      <c r="D1046" s="6">
        <v>2.3</v>
      </c>
      <c r="E1046" s="6">
        <v>0</v>
      </c>
      <c r="F1046" s="6">
        <v>1.5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1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0.15</v>
      </c>
      <c r="T1046" s="8">
        <f t="shared" si="37"/>
        <v>94.05</v>
      </c>
      <c r="U1046" s="7">
        <v>552</v>
      </c>
      <c r="V1046" s="6">
        <v>204</v>
      </c>
      <c r="W1046" s="6">
        <v>16</v>
      </c>
      <c r="X1046" s="6" t="s">
        <v>42</v>
      </c>
      <c r="Y1046" s="6" t="s">
        <v>73</v>
      </c>
      <c r="Z1046" s="6" t="s">
        <v>79</v>
      </c>
      <c r="AA1046" s="6" t="s">
        <v>74</v>
      </c>
      <c r="AB1046" s="6" t="s">
        <v>37</v>
      </c>
      <c r="AC1046" s="6" t="s">
        <v>53</v>
      </c>
      <c r="AD1046" s="26" t="s">
        <v>83</v>
      </c>
      <c r="AE1046" s="7">
        <v>372</v>
      </c>
      <c r="AF1046" s="6">
        <v>421</v>
      </c>
      <c r="AG1046" s="10">
        <v>6</v>
      </c>
      <c r="AH1046" s="54" t="s">
        <v>232</v>
      </c>
    </row>
    <row r="1047" ht="13.9" spans="1:34">
      <c r="A1047" s="6" t="s">
        <v>202</v>
      </c>
      <c r="B1047" s="7">
        <v>0</v>
      </c>
      <c r="C1047" s="6">
        <v>0</v>
      </c>
      <c r="D1047" s="6">
        <v>2.3</v>
      </c>
      <c r="E1047" s="6">
        <v>0.5</v>
      </c>
      <c r="F1047" s="6">
        <v>1.5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0.15</v>
      </c>
      <c r="T1047" s="8">
        <f t="shared" si="37"/>
        <v>95.55</v>
      </c>
      <c r="U1047" s="7">
        <v>552</v>
      </c>
      <c r="V1047" s="6">
        <v>204</v>
      </c>
      <c r="W1047" s="6">
        <v>16</v>
      </c>
      <c r="X1047" s="6" t="s">
        <v>42</v>
      </c>
      <c r="Y1047" s="6" t="s">
        <v>73</v>
      </c>
      <c r="Z1047" s="6" t="s">
        <v>79</v>
      </c>
      <c r="AA1047" s="6" t="s">
        <v>74</v>
      </c>
      <c r="AB1047" s="6" t="s">
        <v>37</v>
      </c>
      <c r="AC1047" s="6" t="s">
        <v>53</v>
      </c>
      <c r="AD1047" s="26" t="s">
        <v>83</v>
      </c>
      <c r="AE1047" s="7">
        <v>361</v>
      </c>
      <c r="AF1047" s="6">
        <v>403</v>
      </c>
      <c r="AG1047" s="10">
        <v>7</v>
      </c>
      <c r="AH1047" s="54" t="s">
        <v>232</v>
      </c>
    </row>
    <row r="1048" ht="13.9" spans="1:34">
      <c r="A1048" s="6" t="s">
        <v>202</v>
      </c>
      <c r="B1048" s="7">
        <v>0</v>
      </c>
      <c r="C1048" s="6">
        <v>0</v>
      </c>
      <c r="D1048" s="6">
        <v>3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0.3</v>
      </c>
      <c r="T1048" s="8">
        <f t="shared" si="37"/>
        <v>96.7</v>
      </c>
      <c r="U1048" s="7">
        <v>25</v>
      </c>
      <c r="V1048" s="6">
        <v>25</v>
      </c>
      <c r="W1048" s="6">
        <v>0</v>
      </c>
      <c r="X1048" s="6" t="s">
        <v>42</v>
      </c>
      <c r="Y1048" s="6" t="s">
        <v>35</v>
      </c>
      <c r="Z1048" s="6" t="s">
        <v>37</v>
      </c>
      <c r="AA1048" s="6" t="s">
        <v>37</v>
      </c>
      <c r="AB1048" s="6" t="s">
        <v>37</v>
      </c>
      <c r="AC1048" s="6" t="s">
        <v>53</v>
      </c>
      <c r="AD1048" s="26" t="s">
        <v>52</v>
      </c>
      <c r="AE1048" s="7">
        <v>335</v>
      </c>
      <c r="AF1048" s="6">
        <v>370</v>
      </c>
      <c r="AG1048" s="10">
        <v>4</v>
      </c>
      <c r="AH1048" s="54" t="s">
        <v>232</v>
      </c>
    </row>
    <row r="1049" ht="13.9" spans="1:34">
      <c r="A1049" s="6" t="s">
        <v>202</v>
      </c>
      <c r="B1049" s="7">
        <v>0</v>
      </c>
      <c r="C1049" s="6">
        <v>0</v>
      </c>
      <c r="D1049" s="6">
        <v>0</v>
      </c>
      <c r="E1049" s="6">
        <v>1</v>
      </c>
      <c r="F1049" s="6">
        <v>1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0.3</v>
      </c>
      <c r="T1049" s="8">
        <f t="shared" si="37"/>
        <v>97.7</v>
      </c>
      <c r="U1049" s="7">
        <v>25</v>
      </c>
      <c r="V1049" s="6">
        <v>288</v>
      </c>
      <c r="W1049" s="6">
        <v>8</v>
      </c>
      <c r="X1049" s="6" t="s">
        <v>42</v>
      </c>
      <c r="Y1049" s="6" t="s">
        <v>35</v>
      </c>
      <c r="Z1049" s="6" t="s">
        <v>37</v>
      </c>
      <c r="AA1049" s="6" t="s">
        <v>74</v>
      </c>
      <c r="AB1049" s="6" t="s">
        <v>37</v>
      </c>
      <c r="AC1049" s="6" t="s">
        <v>53</v>
      </c>
      <c r="AD1049" s="26" t="s">
        <v>164</v>
      </c>
      <c r="AE1049" s="7">
        <v>320</v>
      </c>
      <c r="AF1049" s="6">
        <v>336</v>
      </c>
      <c r="AG1049" s="10">
        <v>6</v>
      </c>
      <c r="AH1049" s="54" t="s">
        <v>232</v>
      </c>
    </row>
    <row r="1050" ht="13.9" spans="1:34">
      <c r="A1050" s="6" t="s">
        <v>202</v>
      </c>
      <c r="B1050" s="7">
        <v>0</v>
      </c>
      <c r="C1050" s="6">
        <v>0</v>
      </c>
      <c r="D1050" s="6">
        <v>3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8">
        <v>97</v>
      </c>
      <c r="U1050" s="7">
        <v>25</v>
      </c>
      <c r="V1050" s="6">
        <v>25</v>
      </c>
      <c r="W1050" s="6">
        <v>0</v>
      </c>
      <c r="X1050" s="6" t="s">
        <v>42</v>
      </c>
      <c r="Y1050" s="6" t="s">
        <v>35</v>
      </c>
      <c r="Z1050" s="6" t="s">
        <v>37</v>
      </c>
      <c r="AA1050" s="6" t="s">
        <v>37</v>
      </c>
      <c r="AB1050" s="6" t="s">
        <v>37</v>
      </c>
      <c r="AC1050" s="6" t="s">
        <v>53</v>
      </c>
      <c r="AD1050" s="26" t="s">
        <v>52</v>
      </c>
      <c r="AE1050" s="7">
        <v>302</v>
      </c>
      <c r="AF1050" s="6">
        <v>327</v>
      </c>
      <c r="AG1050" s="10">
        <v>4</v>
      </c>
      <c r="AH1050" s="54" t="s">
        <v>232</v>
      </c>
    </row>
    <row r="1051" ht="13.9" spans="1:34">
      <c r="A1051" s="6" t="s">
        <v>202</v>
      </c>
      <c r="B1051" s="7">
        <v>0</v>
      </c>
      <c r="C1051" s="6">
        <v>0</v>
      </c>
      <c r="D1051" s="6">
        <v>0</v>
      </c>
      <c r="E1051" s="6">
        <v>1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0.5</v>
      </c>
      <c r="T1051" s="8">
        <f>100-SUM(B1051:S1051)</f>
        <v>98.5</v>
      </c>
      <c r="U1051" s="7">
        <v>25</v>
      </c>
      <c r="V1051" s="6">
        <v>288</v>
      </c>
      <c r="W1051" s="6">
        <v>8</v>
      </c>
      <c r="X1051" s="6" t="s">
        <v>42</v>
      </c>
      <c r="Y1051" s="6" t="s">
        <v>35</v>
      </c>
      <c r="Z1051" s="6" t="s">
        <v>37</v>
      </c>
      <c r="AA1051" s="6" t="s">
        <v>74</v>
      </c>
      <c r="AB1051" s="6" t="s">
        <v>37</v>
      </c>
      <c r="AC1051" s="6" t="s">
        <v>53</v>
      </c>
      <c r="AD1051" s="26" t="s">
        <v>164</v>
      </c>
      <c r="AE1051" s="7">
        <v>309</v>
      </c>
      <c r="AF1051" s="6">
        <v>323</v>
      </c>
      <c r="AG1051" s="10">
        <v>7</v>
      </c>
      <c r="AH1051" s="54" t="s">
        <v>232</v>
      </c>
    </row>
    <row r="1052" ht="13.9" spans="1:34">
      <c r="A1052" s="6" t="s">
        <v>202</v>
      </c>
      <c r="B1052" s="7">
        <v>0</v>
      </c>
      <c r="C1052" s="6">
        <v>0</v>
      </c>
      <c r="D1052" s="6">
        <v>3</v>
      </c>
      <c r="E1052" s="6">
        <v>0.3</v>
      </c>
      <c r="F1052" s="6">
        <v>0</v>
      </c>
      <c r="G1052" s="6">
        <v>0</v>
      </c>
      <c r="H1052" s="6">
        <v>0</v>
      </c>
      <c r="I1052" s="6">
        <v>0.1</v>
      </c>
      <c r="J1052" s="6">
        <v>0</v>
      </c>
      <c r="K1052" s="6">
        <v>0.15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0.2</v>
      </c>
      <c r="T1052" s="8">
        <f>100-SUM(B1052:S1052)</f>
        <v>96.25</v>
      </c>
      <c r="U1052" s="7">
        <v>579</v>
      </c>
      <c r="V1052" s="6">
        <v>216</v>
      </c>
      <c r="W1052" s="6">
        <v>16</v>
      </c>
      <c r="X1052" s="6" t="s">
        <v>42</v>
      </c>
      <c r="Y1052" s="6" t="s">
        <v>73</v>
      </c>
      <c r="Z1052" s="6" t="s">
        <v>79</v>
      </c>
      <c r="AA1052" s="6" t="s">
        <v>74</v>
      </c>
      <c r="AB1052" s="6" t="s">
        <v>37</v>
      </c>
      <c r="AC1052" s="6" t="s">
        <v>53</v>
      </c>
      <c r="AD1052" s="26" t="s">
        <v>83</v>
      </c>
      <c r="AE1052" s="7">
        <v>253</v>
      </c>
      <c r="AF1052" s="6">
        <v>323</v>
      </c>
      <c r="AG1052" s="10">
        <v>9</v>
      </c>
      <c r="AH1052" s="54" t="s">
        <v>232</v>
      </c>
    </row>
    <row r="1053" ht="13.9" spans="1:34">
      <c r="A1053" s="6" t="s">
        <v>202</v>
      </c>
      <c r="B1053" s="7">
        <v>0</v>
      </c>
      <c r="C1053" s="6">
        <v>0</v>
      </c>
      <c r="D1053" s="6">
        <v>3</v>
      </c>
      <c r="E1053" s="6">
        <v>0.3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0.2</v>
      </c>
      <c r="T1053" s="8">
        <f>100-SUM(B1053:S1053)</f>
        <v>96.5</v>
      </c>
      <c r="U1053" s="7">
        <v>579</v>
      </c>
      <c r="V1053" s="6">
        <v>216</v>
      </c>
      <c r="W1053" s="6">
        <v>16</v>
      </c>
      <c r="X1053" s="6" t="s">
        <v>42</v>
      </c>
      <c r="Y1053" s="6" t="s">
        <v>73</v>
      </c>
      <c r="Z1053" s="6" t="s">
        <v>79</v>
      </c>
      <c r="AA1053" s="6" t="s">
        <v>74</v>
      </c>
      <c r="AB1053" s="6" t="s">
        <v>37</v>
      </c>
      <c r="AC1053" s="6" t="s">
        <v>53</v>
      </c>
      <c r="AD1053" s="26" t="s">
        <v>83</v>
      </c>
      <c r="AE1053" s="7">
        <v>251</v>
      </c>
      <c r="AF1053" s="6">
        <v>313</v>
      </c>
      <c r="AG1053" s="10">
        <v>8</v>
      </c>
      <c r="AH1053" s="54" t="s">
        <v>232</v>
      </c>
    </row>
    <row r="1054" ht="13.9" spans="1:34">
      <c r="A1054" s="6" t="s">
        <v>202</v>
      </c>
      <c r="B1054" s="7">
        <v>0</v>
      </c>
      <c r="C1054" s="6">
        <v>0</v>
      </c>
      <c r="D1054" s="6">
        <v>0</v>
      </c>
      <c r="E1054" s="6">
        <v>1</v>
      </c>
      <c r="F1054" s="6">
        <v>1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0.3</v>
      </c>
      <c r="T1054" s="8">
        <f>100-SUM(B1054:S1054)</f>
        <v>97.7</v>
      </c>
      <c r="U1054" s="7">
        <v>25</v>
      </c>
      <c r="V1054" s="6">
        <v>25</v>
      </c>
      <c r="W1054" s="6">
        <v>0</v>
      </c>
      <c r="X1054" s="6" t="s">
        <v>42</v>
      </c>
      <c r="Y1054" s="6" t="s">
        <v>35</v>
      </c>
      <c r="Z1054" s="6" t="s">
        <v>37</v>
      </c>
      <c r="AA1054" s="6" t="s">
        <v>37</v>
      </c>
      <c r="AB1054" s="6" t="s">
        <v>37</v>
      </c>
      <c r="AC1054" s="6" t="s">
        <v>53</v>
      </c>
      <c r="AD1054" s="26" t="s">
        <v>52</v>
      </c>
      <c r="AE1054" s="7">
        <v>296</v>
      </c>
      <c r="AF1054" s="6">
        <v>312</v>
      </c>
      <c r="AG1054" s="10">
        <v>4</v>
      </c>
      <c r="AH1054" s="54" t="s">
        <v>232</v>
      </c>
    </row>
    <row r="1055" ht="13.9" spans="1:34">
      <c r="A1055" s="6" t="s">
        <v>202</v>
      </c>
      <c r="B1055" s="7">
        <v>0</v>
      </c>
      <c r="C1055" s="6">
        <v>0</v>
      </c>
      <c r="D1055" s="6">
        <v>0</v>
      </c>
      <c r="E1055" s="6">
        <v>0</v>
      </c>
      <c r="F1055" s="6">
        <v>1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0.3</v>
      </c>
      <c r="T1055" s="8">
        <f>100-SUM(B1055:S1055)</f>
        <v>98.7</v>
      </c>
      <c r="U1055" s="7">
        <v>25</v>
      </c>
      <c r="V1055" s="6">
        <v>288</v>
      </c>
      <c r="W1055" s="6">
        <v>8</v>
      </c>
      <c r="X1055" s="6" t="s">
        <v>42</v>
      </c>
      <c r="Y1055" s="6" t="s">
        <v>35</v>
      </c>
      <c r="Z1055" s="6" t="s">
        <v>37</v>
      </c>
      <c r="AA1055" s="6" t="s">
        <v>74</v>
      </c>
      <c r="AB1055" s="6" t="s">
        <v>37</v>
      </c>
      <c r="AC1055" s="6" t="s">
        <v>53</v>
      </c>
      <c r="AD1055" s="26" t="s">
        <v>164</v>
      </c>
      <c r="AE1055" s="7">
        <v>288</v>
      </c>
      <c r="AF1055" s="6">
        <v>303</v>
      </c>
      <c r="AG1055" s="10">
        <v>9</v>
      </c>
      <c r="AH1055" s="54" t="s">
        <v>232</v>
      </c>
    </row>
    <row r="1056" ht="13.9" spans="1:34">
      <c r="A1056" s="6" t="s">
        <v>202</v>
      </c>
      <c r="B1056" s="7">
        <v>0</v>
      </c>
      <c r="C1056" s="6">
        <v>0</v>
      </c>
      <c r="D1056" s="6">
        <v>3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0.3</v>
      </c>
      <c r="T1056" s="8">
        <v>96.7</v>
      </c>
      <c r="U1056" s="7">
        <v>590</v>
      </c>
      <c r="V1056" s="6">
        <v>288</v>
      </c>
      <c r="W1056" s="6">
        <v>8</v>
      </c>
      <c r="X1056" s="6" t="s">
        <v>42</v>
      </c>
      <c r="Y1056" s="6" t="s">
        <v>73</v>
      </c>
      <c r="Z1056" s="6" t="s">
        <v>37</v>
      </c>
      <c r="AA1056" s="6" t="s">
        <v>74</v>
      </c>
      <c r="AB1056" s="6" t="s">
        <v>37</v>
      </c>
      <c r="AC1056" s="6" t="s">
        <v>53</v>
      </c>
      <c r="AD1056" s="26" t="s">
        <v>77</v>
      </c>
      <c r="AE1056" s="7">
        <v>210</v>
      </c>
      <c r="AF1056" s="6">
        <v>303</v>
      </c>
      <c r="AG1056" s="10">
        <v>12</v>
      </c>
      <c r="AH1056" s="54" t="s">
        <v>232</v>
      </c>
    </row>
    <row r="1057" ht="13.9" spans="1:34">
      <c r="A1057" s="6" t="s">
        <v>202</v>
      </c>
      <c r="B1057" s="7">
        <v>0</v>
      </c>
      <c r="C1057" s="6">
        <v>0</v>
      </c>
      <c r="D1057" s="6">
        <v>3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0.3</v>
      </c>
      <c r="T1057" s="8">
        <f>100-SUM(B1057:S1057)</f>
        <v>96.7</v>
      </c>
      <c r="U1057" s="7">
        <v>25</v>
      </c>
      <c r="V1057" s="6">
        <v>288</v>
      </c>
      <c r="W1057" s="6">
        <v>8</v>
      </c>
      <c r="X1057" s="6" t="s">
        <v>42</v>
      </c>
      <c r="Y1057" s="6" t="s">
        <v>35</v>
      </c>
      <c r="Z1057" s="6" t="s">
        <v>37</v>
      </c>
      <c r="AA1057" s="6" t="s">
        <v>74</v>
      </c>
      <c r="AB1057" s="6" t="s">
        <v>37</v>
      </c>
      <c r="AC1057" s="6" t="s">
        <v>53</v>
      </c>
      <c r="AD1057" s="26" t="s">
        <v>164</v>
      </c>
      <c r="AE1057" s="7">
        <v>285</v>
      </c>
      <c r="AF1057" s="6">
        <v>299</v>
      </c>
      <c r="AG1057" s="10">
        <v>6</v>
      </c>
      <c r="AH1057" s="54" t="s">
        <v>232</v>
      </c>
    </row>
    <row r="1058" ht="13.9" spans="1:34">
      <c r="A1058" s="6" t="s">
        <v>202</v>
      </c>
      <c r="B1058" s="7">
        <v>0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0.49</v>
      </c>
      <c r="T1058" s="8">
        <f>100-SUM(B1058:S1058)</f>
        <v>99.51</v>
      </c>
      <c r="U1058" s="7">
        <v>25</v>
      </c>
      <c r="V1058" s="6">
        <v>288</v>
      </c>
      <c r="W1058" s="6">
        <v>8</v>
      </c>
      <c r="X1058" s="6" t="s">
        <v>42</v>
      </c>
      <c r="Y1058" s="6" t="s">
        <v>35</v>
      </c>
      <c r="Z1058" s="6" t="s">
        <v>37</v>
      </c>
      <c r="AA1058" s="6" t="s">
        <v>74</v>
      </c>
      <c r="AB1058" s="6" t="s">
        <v>37</v>
      </c>
      <c r="AC1058" s="6" t="s">
        <v>53</v>
      </c>
      <c r="AD1058" s="26" t="s">
        <v>164</v>
      </c>
      <c r="AE1058" s="7">
        <v>270</v>
      </c>
      <c r="AF1058" s="6">
        <v>294</v>
      </c>
      <c r="AG1058" s="10">
        <v>11</v>
      </c>
      <c r="AH1058" s="54" t="s">
        <v>232</v>
      </c>
    </row>
    <row r="1059" ht="13.9" spans="1:34">
      <c r="A1059" s="6" t="s">
        <v>202</v>
      </c>
      <c r="B1059" s="7">
        <v>0</v>
      </c>
      <c r="C1059" s="6">
        <v>0</v>
      </c>
      <c r="D1059" s="6">
        <v>0</v>
      </c>
      <c r="E1059" s="6">
        <v>1</v>
      </c>
      <c r="F1059" s="6">
        <v>1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8">
        <v>98</v>
      </c>
      <c r="U1059" s="7">
        <v>25</v>
      </c>
      <c r="V1059" s="6">
        <v>25</v>
      </c>
      <c r="W1059" s="6">
        <v>0</v>
      </c>
      <c r="X1059" s="6" t="s">
        <v>42</v>
      </c>
      <c r="Y1059" s="6" t="s">
        <v>35</v>
      </c>
      <c r="Z1059" s="6" t="s">
        <v>37</v>
      </c>
      <c r="AA1059" s="6" t="s">
        <v>37</v>
      </c>
      <c r="AB1059" s="6" t="s">
        <v>37</v>
      </c>
      <c r="AC1059" s="6" t="s">
        <v>53</v>
      </c>
      <c r="AD1059" s="26" t="s">
        <v>52</v>
      </c>
      <c r="AE1059" s="7">
        <v>279</v>
      </c>
      <c r="AF1059" s="6">
        <v>292</v>
      </c>
      <c r="AG1059" s="10">
        <v>3</v>
      </c>
      <c r="AH1059" s="54" t="s">
        <v>232</v>
      </c>
    </row>
    <row r="1060" ht="13.9" spans="1:34">
      <c r="A1060" s="6" t="s">
        <v>202</v>
      </c>
      <c r="B1060" s="7">
        <v>0</v>
      </c>
      <c r="C1060" s="6">
        <v>0</v>
      </c>
      <c r="D1060" s="6">
        <v>2.5</v>
      </c>
      <c r="E1060" s="6">
        <v>0.3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0.25</v>
      </c>
      <c r="T1060" s="8">
        <f t="shared" ref="T1060:T1066" si="38">100-SUM(B1060:S1060)</f>
        <v>96.95</v>
      </c>
      <c r="U1060" s="7">
        <v>593</v>
      </c>
      <c r="V1060" s="6">
        <v>216</v>
      </c>
      <c r="W1060" s="6">
        <v>16</v>
      </c>
      <c r="X1060" s="6" t="s">
        <v>42</v>
      </c>
      <c r="Y1060" s="6" t="s">
        <v>73</v>
      </c>
      <c r="Z1060" s="6" t="s">
        <v>79</v>
      </c>
      <c r="AA1060" s="6" t="s">
        <v>74</v>
      </c>
      <c r="AB1060" s="6" t="s">
        <v>37</v>
      </c>
      <c r="AC1060" s="6" t="s">
        <v>53</v>
      </c>
      <c r="AD1060" s="26" t="s">
        <v>83</v>
      </c>
      <c r="AE1060" s="7">
        <v>234</v>
      </c>
      <c r="AF1060" s="6">
        <v>291</v>
      </c>
      <c r="AG1060" s="10">
        <v>8.5</v>
      </c>
      <c r="AH1060" s="54" t="s">
        <v>232</v>
      </c>
    </row>
    <row r="1061" ht="13.9" spans="1:34">
      <c r="A1061" s="6" t="s">
        <v>202</v>
      </c>
      <c r="B1061" s="7">
        <v>0</v>
      </c>
      <c r="C1061" s="6">
        <v>0.5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1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0.4</v>
      </c>
      <c r="T1061" s="8">
        <f t="shared" si="38"/>
        <v>98.1</v>
      </c>
      <c r="U1061" s="7">
        <v>25</v>
      </c>
      <c r="V1061" s="6">
        <v>288</v>
      </c>
      <c r="W1061" s="6">
        <v>8</v>
      </c>
      <c r="X1061" s="6" t="s">
        <v>42</v>
      </c>
      <c r="Y1061" s="6" t="s">
        <v>35</v>
      </c>
      <c r="Z1061" s="6" t="s">
        <v>37</v>
      </c>
      <c r="AA1061" s="6" t="s">
        <v>74</v>
      </c>
      <c r="AB1061" s="6" t="s">
        <v>37</v>
      </c>
      <c r="AC1061" s="6" t="s">
        <v>53</v>
      </c>
      <c r="AD1061" s="26" t="s">
        <v>164</v>
      </c>
      <c r="AE1061" s="7">
        <v>270</v>
      </c>
      <c r="AF1061" s="6">
        <v>285</v>
      </c>
      <c r="AG1061" s="10">
        <v>8</v>
      </c>
      <c r="AH1061" s="54" t="s">
        <v>232</v>
      </c>
    </row>
    <row r="1062" ht="13.9" spans="1:34">
      <c r="A1062" s="6" t="s">
        <v>202</v>
      </c>
      <c r="B1062" s="7">
        <v>0</v>
      </c>
      <c r="C1062" s="6">
        <v>0</v>
      </c>
      <c r="D1062" s="6">
        <v>0</v>
      </c>
      <c r="E1062" s="6">
        <v>0.75</v>
      </c>
      <c r="F1062" s="6">
        <v>0</v>
      </c>
      <c r="G1062" s="6">
        <v>0.25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0.3</v>
      </c>
      <c r="T1062" s="8">
        <f t="shared" si="38"/>
        <v>98.7</v>
      </c>
      <c r="U1062" s="7">
        <v>25</v>
      </c>
      <c r="V1062" s="6">
        <v>288</v>
      </c>
      <c r="W1062" s="6">
        <v>8</v>
      </c>
      <c r="X1062" s="6" t="s">
        <v>42</v>
      </c>
      <c r="Y1062" s="6" t="s">
        <v>35</v>
      </c>
      <c r="Z1062" s="6" t="s">
        <v>37</v>
      </c>
      <c r="AA1062" s="6" t="s">
        <v>74</v>
      </c>
      <c r="AB1062" s="6" t="s">
        <v>37</v>
      </c>
      <c r="AC1062" s="6" t="s">
        <v>53</v>
      </c>
      <c r="AD1062" s="26" t="s">
        <v>164</v>
      </c>
      <c r="AE1062" s="7">
        <v>270</v>
      </c>
      <c r="AF1062" s="6">
        <v>283</v>
      </c>
      <c r="AG1062" s="10">
        <v>7</v>
      </c>
      <c r="AH1062" s="54" t="s">
        <v>232</v>
      </c>
    </row>
    <row r="1063" ht="13.9" spans="1:34">
      <c r="A1063" s="6" t="s">
        <v>202</v>
      </c>
      <c r="B1063" s="7">
        <v>0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0.1</v>
      </c>
      <c r="S1063" s="6">
        <v>0.3</v>
      </c>
      <c r="T1063" s="8">
        <f t="shared" si="38"/>
        <v>99.6</v>
      </c>
      <c r="U1063" s="7">
        <v>25</v>
      </c>
      <c r="V1063" s="6">
        <v>288</v>
      </c>
      <c r="W1063" s="6">
        <v>8</v>
      </c>
      <c r="X1063" s="6" t="s">
        <v>42</v>
      </c>
      <c r="Y1063" s="6" t="s">
        <v>35</v>
      </c>
      <c r="Z1063" s="6" t="s">
        <v>37</v>
      </c>
      <c r="AA1063" s="6" t="s">
        <v>74</v>
      </c>
      <c r="AB1063" s="6" t="s">
        <v>37</v>
      </c>
      <c r="AC1063" s="6" t="s">
        <v>53</v>
      </c>
      <c r="AD1063" s="26" t="s">
        <v>164</v>
      </c>
      <c r="AE1063" s="7">
        <v>259</v>
      </c>
      <c r="AF1063" s="6">
        <v>268</v>
      </c>
      <c r="AG1063" s="10">
        <v>7</v>
      </c>
      <c r="AH1063" s="54" t="s">
        <v>232</v>
      </c>
    </row>
    <row r="1064" ht="13.9" spans="1:34">
      <c r="A1064" s="6" t="s">
        <v>202</v>
      </c>
      <c r="B1064" s="7">
        <v>0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0.38</v>
      </c>
      <c r="T1064" s="8">
        <f t="shared" si="38"/>
        <v>99.62</v>
      </c>
      <c r="U1064" s="7">
        <v>25</v>
      </c>
      <c r="V1064" s="6">
        <v>288</v>
      </c>
      <c r="W1064" s="6">
        <v>8</v>
      </c>
      <c r="X1064" s="6" t="s">
        <v>42</v>
      </c>
      <c r="Y1064" s="6" t="s">
        <v>35</v>
      </c>
      <c r="Z1064" s="6" t="s">
        <v>37</v>
      </c>
      <c r="AA1064" s="6" t="s">
        <v>74</v>
      </c>
      <c r="AB1064" s="6" t="s">
        <v>37</v>
      </c>
      <c r="AC1064" s="6" t="s">
        <v>53</v>
      </c>
      <c r="AD1064" s="26" t="s">
        <v>164</v>
      </c>
      <c r="AE1064" s="7">
        <v>240</v>
      </c>
      <c r="AF1064" s="6">
        <v>264</v>
      </c>
      <c r="AG1064" s="10" t="s">
        <v>40</v>
      </c>
      <c r="AH1064" s="54" t="s">
        <v>232</v>
      </c>
    </row>
    <row r="1065" ht="13.9" spans="1:34">
      <c r="A1065" s="6" t="s">
        <v>202</v>
      </c>
      <c r="B1065" s="7">
        <v>0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0.3</v>
      </c>
      <c r="T1065" s="8">
        <f t="shared" si="38"/>
        <v>99.7</v>
      </c>
      <c r="U1065" s="7">
        <v>25</v>
      </c>
      <c r="V1065" s="6">
        <v>288</v>
      </c>
      <c r="W1065" s="6">
        <v>8</v>
      </c>
      <c r="X1065" s="6" t="s">
        <v>42</v>
      </c>
      <c r="Y1065" s="6" t="s">
        <v>35</v>
      </c>
      <c r="Z1065" s="6" t="s">
        <v>37</v>
      </c>
      <c r="AA1065" s="6" t="s">
        <v>74</v>
      </c>
      <c r="AB1065" s="6" t="s">
        <v>37</v>
      </c>
      <c r="AC1065" s="6" t="s">
        <v>53</v>
      </c>
      <c r="AD1065" s="26" t="s">
        <v>164</v>
      </c>
      <c r="AE1065" s="7">
        <v>240</v>
      </c>
      <c r="AF1065" s="6">
        <v>264</v>
      </c>
      <c r="AG1065" s="10">
        <v>6</v>
      </c>
      <c r="AH1065" s="54" t="s">
        <v>232</v>
      </c>
    </row>
    <row r="1066" ht="13.9" spans="1:34">
      <c r="A1066" s="6" t="s">
        <v>202</v>
      </c>
      <c r="B1066" s="7">
        <v>0.043</v>
      </c>
      <c r="C1066" s="6">
        <v>0.054</v>
      </c>
      <c r="D1066" s="6">
        <v>0</v>
      </c>
      <c r="E1066" s="6">
        <v>1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0.8</v>
      </c>
      <c r="T1066" s="8">
        <f t="shared" si="38"/>
        <v>98.103</v>
      </c>
      <c r="U1066" s="7">
        <v>25</v>
      </c>
      <c r="V1066" s="6">
        <v>25</v>
      </c>
      <c r="W1066" s="6">
        <v>0</v>
      </c>
      <c r="X1066" s="6" t="s">
        <v>42</v>
      </c>
      <c r="Y1066" s="6" t="s">
        <v>35</v>
      </c>
      <c r="Z1066" s="6" t="s">
        <v>37</v>
      </c>
      <c r="AA1066" s="6" t="s">
        <v>37</v>
      </c>
      <c r="AB1066" s="6" t="s">
        <v>37</v>
      </c>
      <c r="AC1066" s="6" t="s">
        <v>53</v>
      </c>
      <c r="AD1066" s="26" t="s">
        <v>52</v>
      </c>
      <c r="AE1066" s="7">
        <v>245</v>
      </c>
      <c r="AF1066" s="6">
        <v>258</v>
      </c>
      <c r="AG1066" s="10">
        <v>6</v>
      </c>
      <c r="AH1066" s="54" t="s">
        <v>232</v>
      </c>
    </row>
    <row r="1067" ht="13.9" spans="1:34">
      <c r="A1067" s="6" t="s">
        <v>202</v>
      </c>
      <c r="B1067" s="7">
        <v>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0.38</v>
      </c>
      <c r="T1067" s="8">
        <v>99.62</v>
      </c>
      <c r="U1067" s="7">
        <v>649</v>
      </c>
      <c r="V1067" s="6">
        <v>288</v>
      </c>
      <c r="W1067" s="6">
        <v>8</v>
      </c>
      <c r="X1067" s="6" t="s">
        <v>42</v>
      </c>
      <c r="Y1067" s="6" t="s">
        <v>73</v>
      </c>
      <c r="Z1067" s="6" t="s">
        <v>79</v>
      </c>
      <c r="AA1067" s="6" t="s">
        <v>74</v>
      </c>
      <c r="AB1067" s="6" t="s">
        <v>37</v>
      </c>
      <c r="AC1067" s="6" t="s">
        <v>53</v>
      </c>
      <c r="AD1067" s="26" t="s">
        <v>83</v>
      </c>
      <c r="AE1067" s="7">
        <v>241</v>
      </c>
      <c r="AF1067" s="6">
        <v>257</v>
      </c>
      <c r="AG1067" s="10" t="s">
        <v>40</v>
      </c>
      <c r="AH1067" s="54" t="s">
        <v>232</v>
      </c>
    </row>
    <row r="1068" ht="13.9" spans="1:34">
      <c r="A1068" s="6" t="s">
        <v>202</v>
      </c>
      <c r="B1068" s="7">
        <v>0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1.44</v>
      </c>
      <c r="T1068" s="8">
        <f>100-SUM(B1068:S1068)</f>
        <v>98.56</v>
      </c>
      <c r="U1068" s="7">
        <v>649</v>
      </c>
      <c r="V1068" s="6">
        <v>288</v>
      </c>
      <c r="W1068" s="6">
        <v>8</v>
      </c>
      <c r="X1068" s="6" t="s">
        <v>42</v>
      </c>
      <c r="Y1068" s="6" t="s">
        <v>73</v>
      </c>
      <c r="Z1068" s="6" t="s">
        <v>79</v>
      </c>
      <c r="AA1068" s="6" t="s">
        <v>74</v>
      </c>
      <c r="AB1068" s="6" t="s">
        <v>37</v>
      </c>
      <c r="AC1068" s="6" t="s">
        <v>53</v>
      </c>
      <c r="AD1068" s="26" t="s">
        <v>83</v>
      </c>
      <c r="AE1068" s="7">
        <v>248</v>
      </c>
      <c r="AF1068" s="6">
        <v>254</v>
      </c>
      <c r="AG1068" s="10" t="s">
        <v>40</v>
      </c>
      <c r="AH1068" s="54" t="s">
        <v>232</v>
      </c>
    </row>
    <row r="1069" ht="13.9" spans="1:34">
      <c r="A1069" s="6" t="s">
        <v>202</v>
      </c>
      <c r="B1069" s="7">
        <v>0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1.1</v>
      </c>
      <c r="T1069" s="8">
        <f>100-SUM(B1069:S1069)</f>
        <v>98.9</v>
      </c>
      <c r="U1069" s="7">
        <v>649</v>
      </c>
      <c r="V1069" s="6">
        <v>288</v>
      </c>
      <c r="W1069" s="6">
        <v>8</v>
      </c>
      <c r="X1069" s="6" t="s">
        <v>42</v>
      </c>
      <c r="Y1069" s="6" t="s">
        <v>73</v>
      </c>
      <c r="Z1069" s="6" t="s">
        <v>79</v>
      </c>
      <c r="AA1069" s="6" t="s">
        <v>74</v>
      </c>
      <c r="AB1069" s="6" t="s">
        <v>37</v>
      </c>
      <c r="AC1069" s="6" t="s">
        <v>53</v>
      </c>
      <c r="AD1069" s="26" t="s">
        <v>83</v>
      </c>
      <c r="AE1069" s="7">
        <v>243</v>
      </c>
      <c r="AF1069" s="6">
        <v>253</v>
      </c>
      <c r="AG1069" s="10" t="s">
        <v>40</v>
      </c>
      <c r="AH1069" s="54" t="s">
        <v>232</v>
      </c>
    </row>
    <row r="1070" ht="13.9" spans="1:34">
      <c r="A1070" s="6" t="s">
        <v>202</v>
      </c>
      <c r="B1070" s="7">
        <v>0</v>
      </c>
      <c r="C1070" s="6">
        <v>0.3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0.3</v>
      </c>
      <c r="T1070" s="8">
        <f>100-SUM(B1070:S1070)</f>
        <v>99.4</v>
      </c>
      <c r="U1070" s="7">
        <v>25</v>
      </c>
      <c r="V1070" s="6">
        <v>288</v>
      </c>
      <c r="W1070" s="6">
        <v>8</v>
      </c>
      <c r="X1070" s="6" t="s">
        <v>42</v>
      </c>
      <c r="Y1070" s="6" t="s">
        <v>35</v>
      </c>
      <c r="Z1070" s="6" t="s">
        <v>37</v>
      </c>
      <c r="AA1070" s="6" t="s">
        <v>74</v>
      </c>
      <c r="AB1070" s="6" t="s">
        <v>37</v>
      </c>
      <c r="AC1070" s="6" t="s">
        <v>53</v>
      </c>
      <c r="AD1070" s="26" t="s">
        <v>164</v>
      </c>
      <c r="AE1070" s="7">
        <v>236</v>
      </c>
      <c r="AF1070" s="6">
        <v>252</v>
      </c>
      <c r="AG1070" s="10">
        <v>8</v>
      </c>
      <c r="AH1070" s="54" t="s">
        <v>232</v>
      </c>
    </row>
    <row r="1071" ht="13.9" spans="1:34">
      <c r="A1071" s="6" t="s">
        <v>202</v>
      </c>
      <c r="B1071" s="7">
        <v>0</v>
      </c>
      <c r="C1071" s="6">
        <v>0</v>
      </c>
      <c r="D1071" s="6">
        <v>0</v>
      </c>
      <c r="E1071" s="6">
        <v>1</v>
      </c>
      <c r="F1071" s="6">
        <v>1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0.3</v>
      </c>
      <c r="T1071" s="8">
        <v>97.7</v>
      </c>
      <c r="U1071" s="7">
        <v>627</v>
      </c>
      <c r="V1071" s="6">
        <v>288</v>
      </c>
      <c r="W1071" s="6">
        <v>8</v>
      </c>
      <c r="X1071" s="6" t="s">
        <v>42</v>
      </c>
      <c r="Y1071" s="6" t="s">
        <v>73</v>
      </c>
      <c r="Z1071" s="6" t="s">
        <v>37</v>
      </c>
      <c r="AA1071" s="6" t="s">
        <v>74</v>
      </c>
      <c r="AB1071" s="6" t="s">
        <v>37</v>
      </c>
      <c r="AC1071" s="6" t="s">
        <v>53</v>
      </c>
      <c r="AD1071" s="26" t="s">
        <v>77</v>
      </c>
      <c r="AE1071" s="7">
        <v>199</v>
      </c>
      <c r="AF1071" s="6">
        <v>245</v>
      </c>
      <c r="AG1071" s="10">
        <v>13</v>
      </c>
      <c r="AH1071" s="54" t="s">
        <v>232</v>
      </c>
    </row>
    <row r="1072" ht="13.9" spans="1:34">
      <c r="A1072" s="6" t="s">
        <v>202</v>
      </c>
      <c r="B1072" s="7">
        <v>0</v>
      </c>
      <c r="C1072" s="6">
        <v>0</v>
      </c>
      <c r="D1072" s="6">
        <v>0</v>
      </c>
      <c r="E1072" s="6">
        <v>1</v>
      </c>
      <c r="F1072" s="6">
        <v>1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8">
        <v>98</v>
      </c>
      <c r="U1072" s="7">
        <v>25</v>
      </c>
      <c r="V1072" s="6">
        <v>288</v>
      </c>
      <c r="W1072" s="6">
        <v>8</v>
      </c>
      <c r="X1072" s="6" t="s">
        <v>42</v>
      </c>
      <c r="Y1072" s="6" t="s">
        <v>35</v>
      </c>
      <c r="Z1072" s="6" t="s">
        <v>37</v>
      </c>
      <c r="AA1072" s="6" t="s">
        <v>74</v>
      </c>
      <c r="AB1072" s="6" t="s">
        <v>37</v>
      </c>
      <c r="AC1072" s="6" t="s">
        <v>53</v>
      </c>
      <c r="AD1072" s="26" t="s">
        <v>164</v>
      </c>
      <c r="AE1072" s="7">
        <v>214</v>
      </c>
      <c r="AF1072" s="6">
        <v>243</v>
      </c>
      <c r="AG1072" s="10">
        <v>8</v>
      </c>
      <c r="AH1072" s="54" t="s">
        <v>232</v>
      </c>
    </row>
    <row r="1073" ht="13.9" spans="1:34">
      <c r="A1073" s="6" t="s">
        <v>202</v>
      </c>
      <c r="B1073" s="7">
        <v>0</v>
      </c>
      <c r="C1073" s="6">
        <v>0</v>
      </c>
      <c r="D1073" s="6">
        <v>0</v>
      </c>
      <c r="E1073" s="6">
        <v>0</v>
      </c>
      <c r="F1073" s="6">
        <v>1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0.3</v>
      </c>
      <c r="T1073" s="8">
        <f>100-SUM(B1073:S1073)</f>
        <v>98.7</v>
      </c>
      <c r="U1073" s="7">
        <v>25</v>
      </c>
      <c r="V1073" s="6">
        <v>25</v>
      </c>
      <c r="W1073" s="6">
        <v>0</v>
      </c>
      <c r="X1073" s="6" t="s">
        <v>42</v>
      </c>
      <c r="Y1073" s="6" t="s">
        <v>35</v>
      </c>
      <c r="Z1073" s="6" t="s">
        <v>37</v>
      </c>
      <c r="AA1073" s="6" t="s">
        <v>37</v>
      </c>
      <c r="AB1073" s="6" t="s">
        <v>37</v>
      </c>
      <c r="AC1073" s="6" t="s">
        <v>53</v>
      </c>
      <c r="AD1073" s="26" t="s">
        <v>52</v>
      </c>
      <c r="AE1073" s="7">
        <v>227</v>
      </c>
      <c r="AF1073" s="6">
        <v>241</v>
      </c>
      <c r="AG1073" s="10">
        <v>4</v>
      </c>
      <c r="AH1073" s="54" t="s">
        <v>232</v>
      </c>
    </row>
    <row r="1074" ht="13.9" spans="1:34">
      <c r="A1074" s="6" t="s">
        <v>202</v>
      </c>
      <c r="B1074" s="7">
        <v>0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0.29</v>
      </c>
      <c r="T1074" s="8">
        <f>100-SUM(B1074:S1074)</f>
        <v>99.71</v>
      </c>
      <c r="U1074" s="7">
        <v>25</v>
      </c>
      <c r="V1074" s="6">
        <v>288</v>
      </c>
      <c r="W1074" s="6">
        <v>8</v>
      </c>
      <c r="X1074" s="6" t="s">
        <v>42</v>
      </c>
      <c r="Y1074" s="6" t="s">
        <v>35</v>
      </c>
      <c r="Z1074" s="6" t="s">
        <v>37</v>
      </c>
      <c r="AA1074" s="6" t="s">
        <v>74</v>
      </c>
      <c r="AB1074" s="6" t="s">
        <v>37</v>
      </c>
      <c r="AC1074" s="6" t="s">
        <v>53</v>
      </c>
      <c r="AD1074" s="26" t="s">
        <v>164</v>
      </c>
      <c r="AE1074" s="7">
        <v>205</v>
      </c>
      <c r="AF1074" s="6">
        <v>241</v>
      </c>
      <c r="AG1074" s="10">
        <v>8</v>
      </c>
      <c r="AH1074" s="54" t="s">
        <v>232</v>
      </c>
    </row>
    <row r="1075" ht="13.9" spans="1:34">
      <c r="A1075" s="6" t="s">
        <v>202</v>
      </c>
      <c r="B1075" s="7">
        <v>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0.66</v>
      </c>
      <c r="T1075" s="8">
        <v>99.34</v>
      </c>
      <c r="U1075" s="7">
        <v>649</v>
      </c>
      <c r="V1075" s="6">
        <v>288</v>
      </c>
      <c r="W1075" s="6">
        <v>8</v>
      </c>
      <c r="X1075" s="6" t="s">
        <v>42</v>
      </c>
      <c r="Y1075" s="6" t="s">
        <v>73</v>
      </c>
      <c r="Z1075" s="6" t="s">
        <v>79</v>
      </c>
      <c r="AA1075" s="6" t="s">
        <v>74</v>
      </c>
      <c r="AB1075" s="6" t="s">
        <v>37</v>
      </c>
      <c r="AC1075" s="6" t="s">
        <v>53</v>
      </c>
      <c r="AD1075" s="26" t="s">
        <v>83</v>
      </c>
      <c r="AE1075" s="7">
        <v>235</v>
      </c>
      <c r="AF1075" s="6">
        <v>236</v>
      </c>
      <c r="AG1075" s="10" t="s">
        <v>40</v>
      </c>
      <c r="AH1075" s="54" t="s">
        <v>232</v>
      </c>
    </row>
    <row r="1076" ht="13.9" spans="1:34">
      <c r="A1076" s="6" t="s">
        <v>202</v>
      </c>
      <c r="B1076" s="7">
        <v>0.043</v>
      </c>
      <c r="C1076" s="6">
        <v>0.054</v>
      </c>
      <c r="D1076" s="6">
        <v>0</v>
      </c>
      <c r="E1076" s="6">
        <v>1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0.5</v>
      </c>
      <c r="T1076" s="8">
        <f>100-SUM(B1076:S1076)</f>
        <v>98.403</v>
      </c>
      <c r="U1076" s="7">
        <v>25</v>
      </c>
      <c r="V1076" s="6">
        <v>25</v>
      </c>
      <c r="W1076" s="6">
        <v>0</v>
      </c>
      <c r="X1076" s="6" t="s">
        <v>42</v>
      </c>
      <c r="Y1076" s="6" t="s">
        <v>35</v>
      </c>
      <c r="Z1076" s="6" t="s">
        <v>37</v>
      </c>
      <c r="AA1076" s="6" t="s">
        <v>37</v>
      </c>
      <c r="AB1076" s="6" t="s">
        <v>37</v>
      </c>
      <c r="AC1076" s="6" t="s">
        <v>53</v>
      </c>
      <c r="AD1076" s="26" t="s">
        <v>52</v>
      </c>
      <c r="AE1076" s="7">
        <v>224</v>
      </c>
      <c r="AF1076" s="6">
        <v>234</v>
      </c>
      <c r="AG1076" s="10">
        <v>5</v>
      </c>
      <c r="AH1076" s="54" t="s">
        <v>232</v>
      </c>
    </row>
    <row r="1077" ht="13.9" spans="1:34">
      <c r="A1077" s="6" t="s">
        <v>202</v>
      </c>
      <c r="B1077" s="7">
        <v>0</v>
      </c>
      <c r="C1077" s="6">
        <v>0</v>
      </c>
      <c r="D1077" s="6">
        <v>0</v>
      </c>
      <c r="E1077" s="6">
        <v>1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0.5</v>
      </c>
      <c r="T1077" s="8">
        <f>100-SUM(B1077:S1077)</f>
        <v>98.5</v>
      </c>
      <c r="U1077" s="7">
        <v>25</v>
      </c>
      <c r="V1077" s="6">
        <v>25</v>
      </c>
      <c r="W1077" s="6">
        <v>0</v>
      </c>
      <c r="X1077" s="6" t="s">
        <v>42</v>
      </c>
      <c r="Y1077" s="6" t="s">
        <v>35</v>
      </c>
      <c r="Z1077" s="6" t="s">
        <v>37</v>
      </c>
      <c r="AA1077" s="6" t="s">
        <v>37</v>
      </c>
      <c r="AB1077" s="6" t="s">
        <v>37</v>
      </c>
      <c r="AC1077" s="6" t="s">
        <v>53</v>
      </c>
      <c r="AD1077" s="26" t="s">
        <v>52</v>
      </c>
      <c r="AE1077" s="7">
        <v>224</v>
      </c>
      <c r="AF1077" s="6">
        <v>234</v>
      </c>
      <c r="AG1077" s="10">
        <v>5</v>
      </c>
      <c r="AH1077" s="54" t="s">
        <v>232</v>
      </c>
    </row>
    <row r="1078" ht="13.9" spans="1:34">
      <c r="A1078" s="6" t="s">
        <v>202</v>
      </c>
      <c r="B1078" s="7">
        <v>0</v>
      </c>
      <c r="C1078" s="6">
        <v>0.5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1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0.4</v>
      </c>
      <c r="T1078" s="8">
        <v>98.1</v>
      </c>
      <c r="U1078" s="7">
        <v>627</v>
      </c>
      <c r="V1078" s="6">
        <v>288</v>
      </c>
      <c r="W1078" s="6">
        <v>8</v>
      </c>
      <c r="X1078" s="6" t="s">
        <v>42</v>
      </c>
      <c r="Y1078" s="6" t="s">
        <v>73</v>
      </c>
      <c r="Z1078" s="6" t="s">
        <v>37</v>
      </c>
      <c r="AA1078" s="6" t="s">
        <v>74</v>
      </c>
      <c r="AB1078" s="6" t="s">
        <v>37</v>
      </c>
      <c r="AC1078" s="6" t="s">
        <v>53</v>
      </c>
      <c r="AD1078" s="26" t="s">
        <v>77</v>
      </c>
      <c r="AE1078" s="7">
        <v>199</v>
      </c>
      <c r="AF1078" s="6">
        <v>233</v>
      </c>
      <c r="AG1078" s="10">
        <v>8</v>
      </c>
      <c r="AH1078" s="54" t="s">
        <v>232</v>
      </c>
    </row>
    <row r="1079" ht="13.9" spans="1:34">
      <c r="A1079" s="6" t="s">
        <v>202</v>
      </c>
      <c r="B1079" s="7">
        <v>0</v>
      </c>
      <c r="C1079" s="6">
        <v>0.5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1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0.4</v>
      </c>
      <c r="T1079" s="8">
        <f>100-SUM(B1079:S1079)</f>
        <v>98.1</v>
      </c>
      <c r="U1079" s="7">
        <v>25</v>
      </c>
      <c r="V1079" s="6">
        <v>25</v>
      </c>
      <c r="W1079" s="6">
        <v>0</v>
      </c>
      <c r="X1079" s="6" t="s">
        <v>42</v>
      </c>
      <c r="Y1079" s="6" t="s">
        <v>35</v>
      </c>
      <c r="Z1079" s="6" t="s">
        <v>37</v>
      </c>
      <c r="AA1079" s="6" t="s">
        <v>37</v>
      </c>
      <c r="AB1079" s="6" t="s">
        <v>37</v>
      </c>
      <c r="AC1079" s="6" t="s">
        <v>53</v>
      </c>
      <c r="AD1079" s="26" t="s">
        <v>52</v>
      </c>
      <c r="AE1079" s="7">
        <v>204</v>
      </c>
      <c r="AF1079" s="6">
        <v>228</v>
      </c>
      <c r="AG1079" s="10">
        <v>5</v>
      </c>
      <c r="AH1079" s="54" t="s">
        <v>232</v>
      </c>
    </row>
    <row r="1080" ht="13.9" spans="1:34">
      <c r="A1080" s="6" t="s">
        <v>202</v>
      </c>
      <c r="B1080" s="7">
        <v>0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0.98</v>
      </c>
      <c r="T1080" s="8">
        <f>100-SUM(B1080:S1080)</f>
        <v>99.02</v>
      </c>
      <c r="U1080" s="7">
        <v>25</v>
      </c>
      <c r="V1080" s="6">
        <v>288</v>
      </c>
      <c r="W1080" s="6">
        <v>8</v>
      </c>
      <c r="X1080" s="6" t="s">
        <v>42</v>
      </c>
      <c r="Y1080" s="6" t="s">
        <v>35</v>
      </c>
      <c r="Z1080" s="6" t="s">
        <v>37</v>
      </c>
      <c r="AA1080" s="6" t="s">
        <v>74</v>
      </c>
      <c r="AB1080" s="6" t="s">
        <v>37</v>
      </c>
      <c r="AC1080" s="6" t="s">
        <v>53</v>
      </c>
      <c r="AD1080" s="26" t="s">
        <v>164</v>
      </c>
      <c r="AE1080" s="7">
        <v>200</v>
      </c>
      <c r="AF1080" s="6">
        <v>228</v>
      </c>
      <c r="AG1080" s="10">
        <v>13</v>
      </c>
      <c r="AH1080" s="54" t="s">
        <v>232</v>
      </c>
    </row>
    <row r="1081" ht="13.9" spans="1:34">
      <c r="A1081" s="6" t="s">
        <v>202</v>
      </c>
      <c r="B1081" s="7">
        <v>0</v>
      </c>
      <c r="C1081" s="6">
        <v>0</v>
      </c>
      <c r="D1081" s="6">
        <v>0</v>
      </c>
      <c r="E1081" s="6">
        <v>0</v>
      </c>
      <c r="F1081" s="6">
        <v>1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8">
        <v>99</v>
      </c>
      <c r="U1081" s="7">
        <v>25</v>
      </c>
      <c r="V1081" s="6">
        <v>25</v>
      </c>
      <c r="W1081" s="6">
        <v>0</v>
      </c>
      <c r="X1081" s="6" t="s">
        <v>42</v>
      </c>
      <c r="Y1081" s="6" t="s">
        <v>35</v>
      </c>
      <c r="Z1081" s="6" t="s">
        <v>37</v>
      </c>
      <c r="AA1081" s="6" t="s">
        <v>37</v>
      </c>
      <c r="AB1081" s="6" t="s">
        <v>37</v>
      </c>
      <c r="AC1081" s="6" t="s">
        <v>53</v>
      </c>
      <c r="AD1081" s="26" t="s">
        <v>52</v>
      </c>
      <c r="AE1081" s="7">
        <v>207</v>
      </c>
      <c r="AF1081" s="6">
        <v>224</v>
      </c>
      <c r="AG1081" s="10">
        <v>4</v>
      </c>
      <c r="AH1081" s="54" t="s">
        <v>232</v>
      </c>
    </row>
    <row r="1082" ht="13.9" spans="1:34">
      <c r="A1082" s="6" t="s">
        <v>202</v>
      </c>
      <c r="B1082" s="7">
        <v>0</v>
      </c>
      <c r="C1082" s="6">
        <v>0</v>
      </c>
      <c r="D1082" s="6">
        <v>0</v>
      </c>
      <c r="E1082" s="6">
        <v>1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0.15</v>
      </c>
      <c r="T1082" s="8">
        <f>100-SUM(B1082:S1082)</f>
        <v>98.85</v>
      </c>
      <c r="U1082" s="7">
        <v>25</v>
      </c>
      <c r="V1082" s="6">
        <v>288</v>
      </c>
      <c r="W1082" s="6">
        <v>8</v>
      </c>
      <c r="X1082" s="6" t="s">
        <v>42</v>
      </c>
      <c r="Y1082" s="6" t="s">
        <v>35</v>
      </c>
      <c r="Z1082" s="6" t="s">
        <v>37</v>
      </c>
      <c r="AA1082" s="6" t="s">
        <v>74</v>
      </c>
      <c r="AB1082" s="6" t="s">
        <v>37</v>
      </c>
      <c r="AC1082" s="6" t="s">
        <v>53</v>
      </c>
      <c r="AD1082" s="26" t="s">
        <v>164</v>
      </c>
      <c r="AE1082" s="7">
        <v>216</v>
      </c>
      <c r="AF1082" s="6">
        <v>221</v>
      </c>
      <c r="AG1082" s="10">
        <v>7.5</v>
      </c>
      <c r="AH1082" s="54" t="s">
        <v>232</v>
      </c>
    </row>
    <row r="1083" ht="13.9" spans="1:34">
      <c r="A1083" s="6" t="s">
        <v>202</v>
      </c>
      <c r="B1083" s="7">
        <v>0</v>
      </c>
      <c r="C1083" s="6">
        <v>0</v>
      </c>
      <c r="D1083" s="6">
        <v>0</v>
      </c>
      <c r="E1083" s="6">
        <v>0.75</v>
      </c>
      <c r="F1083" s="6">
        <v>0</v>
      </c>
      <c r="G1083" s="6">
        <v>0.25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0.3</v>
      </c>
      <c r="T1083" s="8">
        <f>100-SUM(B1083:S1083)</f>
        <v>98.7</v>
      </c>
      <c r="U1083" s="7">
        <v>25</v>
      </c>
      <c r="V1083" s="6">
        <v>25</v>
      </c>
      <c r="W1083" s="6">
        <v>0</v>
      </c>
      <c r="X1083" s="6" t="s">
        <v>42</v>
      </c>
      <c r="Y1083" s="6" t="s">
        <v>35</v>
      </c>
      <c r="Z1083" s="6" t="s">
        <v>37</v>
      </c>
      <c r="AA1083" s="6" t="s">
        <v>37</v>
      </c>
      <c r="AB1083" s="6" t="s">
        <v>37</v>
      </c>
      <c r="AC1083" s="6" t="s">
        <v>53</v>
      </c>
      <c r="AD1083" s="26" t="s">
        <v>52</v>
      </c>
      <c r="AE1083" s="7">
        <v>211</v>
      </c>
      <c r="AF1083" s="6">
        <v>218</v>
      </c>
      <c r="AG1083" s="10">
        <v>5</v>
      </c>
      <c r="AH1083" s="54" t="s">
        <v>232</v>
      </c>
    </row>
    <row r="1084" ht="13.9" spans="1:34">
      <c r="A1084" s="6" t="s">
        <v>202</v>
      </c>
      <c r="B1084" s="7">
        <v>0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0.1</v>
      </c>
      <c r="S1084" s="6">
        <v>0.3</v>
      </c>
      <c r="T1084" s="8">
        <v>99.6</v>
      </c>
      <c r="U1084" s="7">
        <v>635</v>
      </c>
      <c r="V1084" s="6">
        <v>288</v>
      </c>
      <c r="W1084" s="6">
        <v>8</v>
      </c>
      <c r="X1084" s="6" t="s">
        <v>42</v>
      </c>
      <c r="Y1084" s="6" t="s">
        <v>73</v>
      </c>
      <c r="Z1084" s="6" t="s">
        <v>37</v>
      </c>
      <c r="AA1084" s="6" t="s">
        <v>74</v>
      </c>
      <c r="AB1084" s="6" t="s">
        <v>37</v>
      </c>
      <c r="AC1084" s="6" t="s">
        <v>53</v>
      </c>
      <c r="AD1084" s="26" t="s">
        <v>77</v>
      </c>
      <c r="AE1084" s="7">
        <v>188</v>
      </c>
      <c r="AF1084" s="6">
        <v>217</v>
      </c>
      <c r="AG1084" s="10">
        <v>10</v>
      </c>
      <c r="AH1084" s="54" t="s">
        <v>232</v>
      </c>
    </row>
    <row r="1085" ht="13.9" spans="1:34">
      <c r="A1085" s="6" t="s">
        <v>202</v>
      </c>
      <c r="B1085" s="7">
        <v>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1.44</v>
      </c>
      <c r="T1085" s="8">
        <v>98.56</v>
      </c>
      <c r="U1085" s="7">
        <v>649</v>
      </c>
      <c r="V1085" s="6">
        <v>288</v>
      </c>
      <c r="W1085" s="6">
        <v>8</v>
      </c>
      <c r="X1085" s="6" t="s">
        <v>42</v>
      </c>
      <c r="Y1085" s="6" t="s">
        <v>73</v>
      </c>
      <c r="Z1085" s="6" t="s">
        <v>37</v>
      </c>
      <c r="AA1085" s="6" t="s">
        <v>74</v>
      </c>
      <c r="AB1085" s="6" t="s">
        <v>37</v>
      </c>
      <c r="AC1085" s="6" t="s">
        <v>53</v>
      </c>
      <c r="AD1085" s="26" t="s">
        <v>77</v>
      </c>
      <c r="AE1085" s="7">
        <v>196</v>
      </c>
      <c r="AF1085" s="6">
        <v>215</v>
      </c>
      <c r="AG1085" s="10" t="s">
        <v>40</v>
      </c>
      <c r="AH1085" s="54" t="s">
        <v>232</v>
      </c>
    </row>
    <row r="1086" ht="13.9" spans="1:34">
      <c r="A1086" s="6" t="s">
        <v>202</v>
      </c>
      <c r="B1086" s="7">
        <v>0</v>
      </c>
      <c r="C1086" s="6">
        <v>0.3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0.3</v>
      </c>
      <c r="T1086" s="8">
        <v>99.4</v>
      </c>
      <c r="U1086" s="7">
        <v>640</v>
      </c>
      <c r="V1086" s="6">
        <v>288</v>
      </c>
      <c r="W1086" s="6">
        <v>8</v>
      </c>
      <c r="X1086" s="6" t="s">
        <v>42</v>
      </c>
      <c r="Y1086" s="6" t="s">
        <v>73</v>
      </c>
      <c r="Z1086" s="6" t="s">
        <v>37</v>
      </c>
      <c r="AA1086" s="6" t="s">
        <v>74</v>
      </c>
      <c r="AB1086" s="6" t="s">
        <v>37</v>
      </c>
      <c r="AC1086" s="6" t="s">
        <v>53</v>
      </c>
      <c r="AD1086" s="26" t="s">
        <v>77</v>
      </c>
      <c r="AE1086" s="7">
        <v>186</v>
      </c>
      <c r="AF1086" s="6">
        <v>214</v>
      </c>
      <c r="AG1086" s="10">
        <v>10</v>
      </c>
      <c r="AH1086" s="54" t="s">
        <v>232</v>
      </c>
    </row>
    <row r="1087" ht="13.9" spans="1:34">
      <c r="A1087" s="6" t="s">
        <v>202</v>
      </c>
      <c r="B1087" s="7">
        <v>0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0.1</v>
      </c>
      <c r="S1087" s="6">
        <v>0.3</v>
      </c>
      <c r="T1087" s="8">
        <f>100-SUM(B1087:S1087)</f>
        <v>99.6</v>
      </c>
      <c r="U1087" s="7">
        <v>25</v>
      </c>
      <c r="V1087" s="6">
        <v>25</v>
      </c>
      <c r="W1087" s="6">
        <v>0</v>
      </c>
      <c r="X1087" s="6" t="s">
        <v>42</v>
      </c>
      <c r="Y1087" s="6" t="s">
        <v>35</v>
      </c>
      <c r="Z1087" s="6" t="s">
        <v>37</v>
      </c>
      <c r="AA1087" s="6" t="s">
        <v>37</v>
      </c>
      <c r="AB1087" s="6" t="s">
        <v>37</v>
      </c>
      <c r="AC1087" s="6" t="s">
        <v>53</v>
      </c>
      <c r="AD1087" s="26" t="s">
        <v>52</v>
      </c>
      <c r="AE1087" s="7">
        <v>201</v>
      </c>
      <c r="AF1087" s="6">
        <v>212</v>
      </c>
      <c r="AG1087" s="10">
        <v>4</v>
      </c>
      <c r="AH1087" s="54" t="s">
        <v>232</v>
      </c>
    </row>
    <row r="1088" ht="13.9" spans="1:34">
      <c r="A1088" s="6" t="s">
        <v>202</v>
      </c>
      <c r="B1088" s="7">
        <v>0</v>
      </c>
      <c r="C1088" s="6">
        <v>0</v>
      </c>
      <c r="D1088" s="6">
        <v>0</v>
      </c>
      <c r="E1088" s="6">
        <v>1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0.3</v>
      </c>
      <c r="T1088" s="8">
        <v>98.7</v>
      </c>
      <c r="U1088" s="7">
        <v>639</v>
      </c>
      <c r="V1088" s="6">
        <v>288</v>
      </c>
      <c r="W1088" s="6">
        <v>8</v>
      </c>
      <c r="X1088" s="6" t="s">
        <v>42</v>
      </c>
      <c r="Y1088" s="6" t="s">
        <v>73</v>
      </c>
      <c r="Z1088" s="6" t="s">
        <v>37</v>
      </c>
      <c r="AA1088" s="6" t="s">
        <v>74</v>
      </c>
      <c r="AB1088" s="6" t="s">
        <v>37</v>
      </c>
      <c r="AC1088" s="6" t="s">
        <v>53</v>
      </c>
      <c r="AD1088" s="26" t="s">
        <v>77</v>
      </c>
      <c r="AE1088" s="7">
        <v>184</v>
      </c>
      <c r="AF1088" s="6">
        <v>210</v>
      </c>
      <c r="AG1088" s="10">
        <v>10</v>
      </c>
      <c r="AH1088" s="54" t="s">
        <v>232</v>
      </c>
    </row>
    <row r="1089" ht="13.9" spans="1:34">
      <c r="A1089" s="6" t="s">
        <v>202</v>
      </c>
      <c r="B1089" s="7">
        <v>0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0.23</v>
      </c>
      <c r="T1089" s="8">
        <f>100-SUM(B1089:S1089)</f>
        <v>99.77</v>
      </c>
      <c r="U1089" s="7">
        <v>25</v>
      </c>
      <c r="V1089" s="6">
        <v>288</v>
      </c>
      <c r="W1089" s="6">
        <v>8</v>
      </c>
      <c r="X1089" s="6" t="s">
        <v>42</v>
      </c>
      <c r="Y1089" s="6" t="s">
        <v>35</v>
      </c>
      <c r="Z1089" s="6" t="s">
        <v>37</v>
      </c>
      <c r="AA1089" s="6" t="s">
        <v>74</v>
      </c>
      <c r="AB1089" s="6" t="s">
        <v>37</v>
      </c>
      <c r="AC1089" s="6" t="s">
        <v>53</v>
      </c>
      <c r="AD1089" s="26" t="s">
        <v>164</v>
      </c>
      <c r="AE1089" s="7">
        <v>198</v>
      </c>
      <c r="AF1089" s="6">
        <v>208</v>
      </c>
      <c r="AG1089" s="10" t="s">
        <v>40</v>
      </c>
      <c r="AH1089" s="54" t="s">
        <v>232</v>
      </c>
    </row>
    <row r="1090" ht="13.9" spans="1:34">
      <c r="A1090" s="6" t="s">
        <v>202</v>
      </c>
      <c r="B1090" s="7">
        <v>0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1.1</v>
      </c>
      <c r="T1090" s="8">
        <v>98.9</v>
      </c>
      <c r="U1090" s="7">
        <v>649</v>
      </c>
      <c r="V1090" s="6">
        <v>288</v>
      </c>
      <c r="W1090" s="6">
        <v>8</v>
      </c>
      <c r="X1090" s="6" t="s">
        <v>42</v>
      </c>
      <c r="Y1090" s="6" t="s">
        <v>73</v>
      </c>
      <c r="Z1090" s="6" t="s">
        <v>37</v>
      </c>
      <c r="AA1090" s="6" t="s">
        <v>74</v>
      </c>
      <c r="AB1090" s="6" t="s">
        <v>37</v>
      </c>
      <c r="AC1090" s="6" t="s">
        <v>53</v>
      </c>
      <c r="AD1090" s="26" t="s">
        <v>77</v>
      </c>
      <c r="AE1090" s="7">
        <v>192</v>
      </c>
      <c r="AF1090" s="6">
        <v>208</v>
      </c>
      <c r="AG1090" s="10" t="s">
        <v>40</v>
      </c>
      <c r="AH1090" s="54" t="s">
        <v>232</v>
      </c>
    </row>
    <row r="1091" ht="13.9" spans="1:34">
      <c r="A1091" s="6" t="s">
        <v>202</v>
      </c>
      <c r="B1091" s="7">
        <v>0.043</v>
      </c>
      <c r="C1091" s="6">
        <v>0.054</v>
      </c>
      <c r="D1091" s="6">
        <v>0</v>
      </c>
      <c r="E1091" s="6">
        <v>1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0.15</v>
      </c>
      <c r="T1091" s="8">
        <f>100-SUM(B1091:S1091)</f>
        <v>98.753</v>
      </c>
      <c r="U1091" s="7">
        <v>25</v>
      </c>
      <c r="V1091" s="6">
        <v>25</v>
      </c>
      <c r="W1091" s="6">
        <v>0</v>
      </c>
      <c r="X1091" s="6" t="s">
        <v>42</v>
      </c>
      <c r="Y1091" s="6" t="s">
        <v>35</v>
      </c>
      <c r="Z1091" s="6" t="s">
        <v>37</v>
      </c>
      <c r="AA1091" s="6" t="s">
        <v>37</v>
      </c>
      <c r="AB1091" s="6" t="s">
        <v>37</v>
      </c>
      <c r="AC1091" s="6" t="s">
        <v>53</v>
      </c>
      <c r="AD1091" s="26" t="s">
        <v>52</v>
      </c>
      <c r="AE1091" s="7">
        <v>198</v>
      </c>
      <c r="AF1091" s="6">
        <v>205</v>
      </c>
      <c r="AG1091" s="10">
        <v>3</v>
      </c>
      <c r="AH1091" s="54" t="s">
        <v>232</v>
      </c>
    </row>
    <row r="1092" ht="13.9" spans="1:34">
      <c r="A1092" s="6" t="s">
        <v>202</v>
      </c>
      <c r="B1092" s="7">
        <v>0</v>
      </c>
      <c r="C1092" s="6">
        <v>0</v>
      </c>
      <c r="D1092" s="6">
        <v>0</v>
      </c>
      <c r="E1092" s="6">
        <v>1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0.15</v>
      </c>
      <c r="T1092" s="8">
        <f>100-SUM(B1092:S1092)</f>
        <v>98.85</v>
      </c>
      <c r="U1092" s="7">
        <v>25</v>
      </c>
      <c r="V1092" s="6">
        <v>25</v>
      </c>
      <c r="W1092" s="6">
        <v>0</v>
      </c>
      <c r="X1092" s="6" t="s">
        <v>42</v>
      </c>
      <c r="Y1092" s="6" t="s">
        <v>35</v>
      </c>
      <c r="Z1092" s="6" t="s">
        <v>37</v>
      </c>
      <c r="AA1092" s="6" t="s">
        <v>37</v>
      </c>
      <c r="AB1092" s="6" t="s">
        <v>37</v>
      </c>
      <c r="AC1092" s="6" t="s">
        <v>53</v>
      </c>
      <c r="AD1092" s="26" t="s">
        <v>52</v>
      </c>
      <c r="AE1092" s="7">
        <v>198</v>
      </c>
      <c r="AF1092" s="6">
        <v>205</v>
      </c>
      <c r="AG1092" s="10">
        <v>3</v>
      </c>
      <c r="AH1092" s="54" t="s">
        <v>232</v>
      </c>
    </row>
    <row r="1093" ht="13.9" spans="1:34">
      <c r="A1093" s="6" t="s">
        <v>202</v>
      </c>
      <c r="B1093" s="7">
        <v>0.043</v>
      </c>
      <c r="C1093" s="6">
        <v>0.054</v>
      </c>
      <c r="D1093" s="6">
        <v>0</v>
      </c>
      <c r="E1093" s="6">
        <v>1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0.05</v>
      </c>
      <c r="T1093" s="8">
        <f>100-SUM(B1093:S1093)</f>
        <v>98.853</v>
      </c>
      <c r="U1093" s="7">
        <v>25</v>
      </c>
      <c r="V1093" s="6">
        <v>25</v>
      </c>
      <c r="W1093" s="6">
        <v>0</v>
      </c>
      <c r="X1093" s="6" t="s">
        <v>42</v>
      </c>
      <c r="Y1093" s="6" t="s">
        <v>35</v>
      </c>
      <c r="Z1093" s="6" t="s">
        <v>37</v>
      </c>
      <c r="AA1093" s="6" t="s">
        <v>37</v>
      </c>
      <c r="AB1093" s="6" t="s">
        <v>37</v>
      </c>
      <c r="AC1093" s="6" t="s">
        <v>53</v>
      </c>
      <c r="AD1093" s="26" t="s">
        <v>52</v>
      </c>
      <c r="AE1093" s="7">
        <v>194</v>
      </c>
      <c r="AF1093" s="6">
        <v>201</v>
      </c>
      <c r="AG1093" s="10">
        <v>4</v>
      </c>
      <c r="AH1093" s="54" t="s">
        <v>232</v>
      </c>
    </row>
    <row r="1094" ht="13.9" spans="1:34">
      <c r="A1094" s="6" t="s">
        <v>202</v>
      </c>
      <c r="B1094" s="7">
        <v>0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0.49</v>
      </c>
      <c r="T1094" s="8">
        <f>100-SUM(B1094:S1094)</f>
        <v>99.51</v>
      </c>
      <c r="U1094" s="7">
        <v>25</v>
      </c>
      <c r="V1094" s="6">
        <v>25</v>
      </c>
      <c r="W1094" s="6">
        <v>0</v>
      </c>
      <c r="X1094" s="6" t="s">
        <v>42</v>
      </c>
      <c r="Y1094" s="6" t="s">
        <v>35</v>
      </c>
      <c r="Z1094" s="6" t="s">
        <v>37</v>
      </c>
      <c r="AA1094" s="6" t="s">
        <v>37</v>
      </c>
      <c r="AB1094" s="6" t="s">
        <v>37</v>
      </c>
      <c r="AC1094" s="6" t="s">
        <v>53</v>
      </c>
      <c r="AD1094" s="26" t="s">
        <v>52</v>
      </c>
      <c r="AE1094" s="7">
        <v>180</v>
      </c>
      <c r="AF1094" s="6">
        <v>201</v>
      </c>
      <c r="AG1094" s="10">
        <v>5</v>
      </c>
      <c r="AH1094" s="54" t="s">
        <v>232</v>
      </c>
    </row>
    <row r="1095" ht="13.9" spans="1:34">
      <c r="A1095" s="6" t="s">
        <v>202</v>
      </c>
      <c r="B1095" s="7">
        <v>0</v>
      </c>
      <c r="C1095" s="6">
        <v>0.5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1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8">
        <v>98.5</v>
      </c>
      <c r="U1095" s="7">
        <v>25</v>
      </c>
      <c r="V1095" s="6">
        <v>25</v>
      </c>
      <c r="W1095" s="6">
        <v>0</v>
      </c>
      <c r="X1095" s="6" t="s">
        <v>42</v>
      </c>
      <c r="Y1095" s="6" t="s">
        <v>35</v>
      </c>
      <c r="Z1095" s="6" t="s">
        <v>37</v>
      </c>
      <c r="AA1095" s="6" t="s">
        <v>37</v>
      </c>
      <c r="AB1095" s="6" t="s">
        <v>37</v>
      </c>
      <c r="AC1095" s="6" t="s">
        <v>53</v>
      </c>
      <c r="AD1095" s="26" t="s">
        <v>52</v>
      </c>
      <c r="AE1095" s="7">
        <v>176</v>
      </c>
      <c r="AF1095" s="6">
        <v>201</v>
      </c>
      <c r="AG1095" s="10">
        <v>4</v>
      </c>
      <c r="AH1095" s="54" t="s">
        <v>232</v>
      </c>
    </row>
    <row r="1096" ht="13.9" spans="1:34">
      <c r="A1096" s="6" t="s">
        <v>202</v>
      </c>
      <c r="B1096" s="7">
        <v>0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0.38</v>
      </c>
      <c r="T1096" s="8">
        <f>100-SUM(B1096:S1096)</f>
        <v>99.62</v>
      </c>
      <c r="U1096" s="7">
        <v>649</v>
      </c>
      <c r="V1096" s="6">
        <v>288</v>
      </c>
      <c r="W1096" s="6">
        <v>8</v>
      </c>
      <c r="X1096" s="6" t="s">
        <v>42</v>
      </c>
      <c r="Y1096" s="6" t="s">
        <v>73</v>
      </c>
      <c r="Z1096" s="6" t="s">
        <v>37</v>
      </c>
      <c r="AA1096" s="6" t="s">
        <v>74</v>
      </c>
      <c r="AB1096" s="6" t="s">
        <v>37</v>
      </c>
      <c r="AC1096" s="6" t="s">
        <v>53</v>
      </c>
      <c r="AD1096" s="26" t="s">
        <v>77</v>
      </c>
      <c r="AE1096" s="7">
        <v>199</v>
      </c>
      <c r="AF1096" s="6">
        <v>199</v>
      </c>
      <c r="AG1096" s="10" t="s">
        <v>40</v>
      </c>
      <c r="AH1096" s="54" t="s">
        <v>232</v>
      </c>
    </row>
    <row r="1097" ht="13.9" spans="1:34">
      <c r="A1097" s="6" t="s">
        <v>202</v>
      </c>
      <c r="B1097" s="7">
        <v>0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0.2</v>
      </c>
      <c r="T1097" s="8">
        <f>100-SUM(B1097:S1097)</f>
        <v>99.8</v>
      </c>
      <c r="U1097" s="7">
        <v>25</v>
      </c>
      <c r="V1097" s="6">
        <v>288</v>
      </c>
      <c r="W1097" s="6">
        <v>8</v>
      </c>
      <c r="X1097" s="6" t="s">
        <v>42</v>
      </c>
      <c r="Y1097" s="6" t="s">
        <v>35</v>
      </c>
      <c r="Z1097" s="6" t="s">
        <v>37</v>
      </c>
      <c r="AA1097" s="6" t="s">
        <v>74</v>
      </c>
      <c r="AB1097" s="6" t="s">
        <v>37</v>
      </c>
      <c r="AC1097" s="6" t="s">
        <v>53</v>
      </c>
      <c r="AD1097" s="26" t="s">
        <v>164</v>
      </c>
      <c r="AE1097" s="7">
        <v>179</v>
      </c>
      <c r="AF1097" s="6">
        <v>194</v>
      </c>
      <c r="AG1097" s="10">
        <v>10</v>
      </c>
      <c r="AH1097" s="54" t="s">
        <v>232</v>
      </c>
    </row>
    <row r="1098" ht="13.9" spans="1:34">
      <c r="A1098" s="6" t="s">
        <v>202</v>
      </c>
      <c r="B1098" s="7">
        <v>0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1.1</v>
      </c>
      <c r="T1098" s="8">
        <f>100-SUM(B1098:S1098)</f>
        <v>98.9</v>
      </c>
      <c r="U1098" s="7">
        <v>25</v>
      </c>
      <c r="V1098" s="6">
        <v>288</v>
      </c>
      <c r="W1098" s="6">
        <v>8</v>
      </c>
      <c r="X1098" s="6" t="s">
        <v>42</v>
      </c>
      <c r="Y1098" s="6" t="s">
        <v>35</v>
      </c>
      <c r="Z1098" s="6" t="s">
        <v>37</v>
      </c>
      <c r="AA1098" s="6" t="s">
        <v>74</v>
      </c>
      <c r="AB1098" s="6" t="s">
        <v>37</v>
      </c>
      <c r="AC1098" s="6" t="s">
        <v>53</v>
      </c>
      <c r="AD1098" s="26" t="s">
        <v>164</v>
      </c>
      <c r="AE1098" s="7">
        <v>167</v>
      </c>
      <c r="AF1098" s="6">
        <v>194</v>
      </c>
      <c r="AG1098" s="10" t="s">
        <v>40</v>
      </c>
      <c r="AH1098" s="54" t="s">
        <v>232</v>
      </c>
    </row>
    <row r="1099" ht="13.9" spans="1:34">
      <c r="A1099" s="6" t="s">
        <v>202</v>
      </c>
      <c r="B1099" s="7">
        <v>0</v>
      </c>
      <c r="C1099" s="6">
        <v>0</v>
      </c>
      <c r="D1099" s="6">
        <v>0</v>
      </c>
      <c r="E1099" s="6">
        <v>0.75</v>
      </c>
      <c r="F1099" s="6">
        <v>0</v>
      </c>
      <c r="G1099" s="6">
        <v>0.25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8">
        <v>99</v>
      </c>
      <c r="U1099" s="7">
        <v>25</v>
      </c>
      <c r="V1099" s="6">
        <v>25</v>
      </c>
      <c r="W1099" s="6">
        <v>0</v>
      </c>
      <c r="X1099" s="6" t="s">
        <v>42</v>
      </c>
      <c r="Y1099" s="6" t="s">
        <v>35</v>
      </c>
      <c r="Z1099" s="6" t="s">
        <v>37</v>
      </c>
      <c r="AA1099" s="6" t="s">
        <v>37</v>
      </c>
      <c r="AB1099" s="6" t="s">
        <v>37</v>
      </c>
      <c r="AC1099" s="6" t="s">
        <v>53</v>
      </c>
      <c r="AD1099" s="26" t="s">
        <v>52</v>
      </c>
      <c r="AE1099" s="7">
        <v>188</v>
      </c>
      <c r="AF1099" s="6">
        <v>193</v>
      </c>
      <c r="AG1099" s="10">
        <v>4</v>
      </c>
      <c r="AH1099" s="54" t="s">
        <v>232</v>
      </c>
    </row>
    <row r="1100" ht="13.9" spans="1:34">
      <c r="A1100" s="6" t="s">
        <v>202</v>
      </c>
      <c r="B1100" s="7">
        <v>0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1.44</v>
      </c>
      <c r="T1100" s="8">
        <f>100-SUM(B1100:S1100)</f>
        <v>98.56</v>
      </c>
      <c r="U1100" s="7">
        <v>25</v>
      </c>
      <c r="V1100" s="6">
        <v>288</v>
      </c>
      <c r="W1100" s="6">
        <v>8</v>
      </c>
      <c r="X1100" s="6" t="s">
        <v>42</v>
      </c>
      <c r="Y1100" s="6" t="s">
        <v>35</v>
      </c>
      <c r="Z1100" s="6" t="s">
        <v>37</v>
      </c>
      <c r="AA1100" s="6" t="s">
        <v>74</v>
      </c>
      <c r="AB1100" s="6" t="s">
        <v>37</v>
      </c>
      <c r="AC1100" s="6" t="s">
        <v>53</v>
      </c>
      <c r="AD1100" s="26" t="s">
        <v>164</v>
      </c>
      <c r="AE1100" s="7">
        <v>167</v>
      </c>
      <c r="AF1100" s="6">
        <v>193</v>
      </c>
      <c r="AG1100" s="10" t="s">
        <v>40</v>
      </c>
      <c r="AH1100" s="54" t="s">
        <v>232</v>
      </c>
    </row>
    <row r="1101" ht="13.9" spans="1:34">
      <c r="A1101" s="6" t="s">
        <v>202</v>
      </c>
      <c r="B1101" s="7">
        <v>0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0.66</v>
      </c>
      <c r="T1101" s="8">
        <v>99.34</v>
      </c>
      <c r="U1101" s="7">
        <v>649</v>
      </c>
      <c r="V1101" s="6">
        <v>288</v>
      </c>
      <c r="W1101" s="6">
        <v>8</v>
      </c>
      <c r="X1101" s="6" t="s">
        <v>42</v>
      </c>
      <c r="Y1101" s="6" t="s">
        <v>73</v>
      </c>
      <c r="Z1101" s="6" t="s">
        <v>37</v>
      </c>
      <c r="AA1101" s="6" t="s">
        <v>74</v>
      </c>
      <c r="AB1101" s="6" t="s">
        <v>37</v>
      </c>
      <c r="AC1101" s="6" t="s">
        <v>53</v>
      </c>
      <c r="AD1101" s="26" t="s">
        <v>77</v>
      </c>
      <c r="AE1101" s="7">
        <v>184</v>
      </c>
      <c r="AF1101" s="6">
        <v>192</v>
      </c>
      <c r="AG1101" s="10" t="s">
        <v>40</v>
      </c>
      <c r="AH1101" s="54" t="s">
        <v>232</v>
      </c>
    </row>
    <row r="1102" ht="13.9" spans="1:34">
      <c r="A1102" s="6" t="s">
        <v>202</v>
      </c>
      <c r="B1102" s="7">
        <v>0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0.23</v>
      </c>
      <c r="T1102" s="8">
        <v>99.77</v>
      </c>
      <c r="U1102" s="7">
        <v>649</v>
      </c>
      <c r="V1102" s="6">
        <v>288</v>
      </c>
      <c r="W1102" s="6">
        <v>8</v>
      </c>
      <c r="X1102" s="6" t="s">
        <v>42</v>
      </c>
      <c r="Y1102" s="6" t="s">
        <v>73</v>
      </c>
      <c r="Z1102" s="6" t="s">
        <v>79</v>
      </c>
      <c r="AA1102" s="6" t="s">
        <v>74</v>
      </c>
      <c r="AB1102" s="6" t="s">
        <v>37</v>
      </c>
      <c r="AC1102" s="6" t="s">
        <v>53</v>
      </c>
      <c r="AD1102" s="26" t="s">
        <v>83</v>
      </c>
      <c r="AE1102" s="7">
        <v>172</v>
      </c>
      <c r="AF1102" s="6">
        <v>192</v>
      </c>
      <c r="AG1102" s="10" t="s">
        <v>40</v>
      </c>
      <c r="AH1102" s="54" t="s">
        <v>232</v>
      </c>
    </row>
    <row r="1103" ht="13.9" spans="1:34">
      <c r="A1103" s="6" t="s">
        <v>202</v>
      </c>
      <c r="B1103" s="7">
        <v>0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0.98</v>
      </c>
      <c r="T1103" s="8">
        <f>100-SUM(B1103:S1103)</f>
        <v>99.02</v>
      </c>
      <c r="U1103" s="7">
        <v>25</v>
      </c>
      <c r="V1103" s="6">
        <v>25</v>
      </c>
      <c r="W1103" s="6">
        <v>0</v>
      </c>
      <c r="X1103" s="6" t="s">
        <v>42</v>
      </c>
      <c r="Y1103" s="6" t="s">
        <v>35</v>
      </c>
      <c r="Z1103" s="6" t="s">
        <v>37</v>
      </c>
      <c r="AA1103" s="6" t="s">
        <v>37</v>
      </c>
      <c r="AB1103" s="6" t="s">
        <v>37</v>
      </c>
      <c r="AC1103" s="6" t="s">
        <v>53</v>
      </c>
      <c r="AD1103" s="26" t="s">
        <v>52</v>
      </c>
      <c r="AE1103" s="7">
        <v>168</v>
      </c>
      <c r="AF1103" s="6">
        <v>188</v>
      </c>
      <c r="AG1103" s="10">
        <v>9</v>
      </c>
      <c r="AH1103" s="54" t="s">
        <v>232</v>
      </c>
    </row>
    <row r="1104" ht="13.9" spans="1:34">
      <c r="A1104" s="6" t="s">
        <v>202</v>
      </c>
      <c r="B1104" s="7">
        <v>0</v>
      </c>
      <c r="C1104" s="6">
        <v>0.3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0.3</v>
      </c>
      <c r="T1104" s="8">
        <f>100-SUM(B1104:S1104)</f>
        <v>99.4</v>
      </c>
      <c r="U1104" s="7">
        <v>25</v>
      </c>
      <c r="V1104" s="6">
        <v>25</v>
      </c>
      <c r="W1104" s="6">
        <v>0</v>
      </c>
      <c r="X1104" s="6" t="s">
        <v>42</v>
      </c>
      <c r="Y1104" s="6" t="s">
        <v>35</v>
      </c>
      <c r="Z1104" s="6" t="s">
        <v>37</v>
      </c>
      <c r="AA1104" s="6" t="s">
        <v>37</v>
      </c>
      <c r="AB1104" s="6" t="s">
        <v>37</v>
      </c>
      <c r="AC1104" s="6" t="s">
        <v>53</v>
      </c>
      <c r="AD1104" s="26" t="s">
        <v>52</v>
      </c>
      <c r="AE1104" s="7">
        <v>165</v>
      </c>
      <c r="AF1104" s="6">
        <v>183</v>
      </c>
      <c r="AG1104" s="10">
        <v>4</v>
      </c>
      <c r="AH1104" s="54" t="s">
        <v>232</v>
      </c>
    </row>
    <row r="1105" ht="13.9" spans="1:34">
      <c r="A1105" s="6" t="s">
        <v>202</v>
      </c>
      <c r="B1105" s="7">
        <v>0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0.66</v>
      </c>
      <c r="T1105" s="8">
        <f>100-SUM(B1105:S1105)</f>
        <v>99.34</v>
      </c>
      <c r="U1105" s="7">
        <v>25</v>
      </c>
      <c r="V1105" s="6">
        <v>288</v>
      </c>
      <c r="W1105" s="6">
        <v>8</v>
      </c>
      <c r="X1105" s="6" t="s">
        <v>42</v>
      </c>
      <c r="Y1105" s="6" t="s">
        <v>35</v>
      </c>
      <c r="Z1105" s="6" t="s">
        <v>37</v>
      </c>
      <c r="AA1105" s="6" t="s">
        <v>74</v>
      </c>
      <c r="AB1105" s="6" t="s">
        <v>37</v>
      </c>
      <c r="AC1105" s="6" t="s">
        <v>53</v>
      </c>
      <c r="AD1105" s="26" t="s">
        <v>164</v>
      </c>
      <c r="AE1105" s="7">
        <v>163</v>
      </c>
      <c r="AF1105" s="6">
        <v>183</v>
      </c>
      <c r="AG1105" s="10" t="s">
        <v>40</v>
      </c>
      <c r="AH1105" s="54" t="s">
        <v>232</v>
      </c>
    </row>
    <row r="1106" ht="13.9" spans="1:34">
      <c r="A1106" s="6" t="s">
        <v>202</v>
      </c>
      <c r="B1106" s="7">
        <v>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1.1</v>
      </c>
      <c r="T1106" s="8">
        <f>100-SUM(B1106:S1106)</f>
        <v>98.9</v>
      </c>
      <c r="U1106" s="7">
        <v>25</v>
      </c>
      <c r="V1106" s="6">
        <v>25</v>
      </c>
      <c r="W1106" s="6">
        <v>0</v>
      </c>
      <c r="X1106" s="6" t="s">
        <v>42</v>
      </c>
      <c r="Y1106" s="6" t="s">
        <v>35</v>
      </c>
      <c r="Z1106" s="6" t="s">
        <v>37</v>
      </c>
      <c r="AA1106" s="6" t="s">
        <v>37</v>
      </c>
      <c r="AB1106" s="6" t="s">
        <v>37</v>
      </c>
      <c r="AC1106" s="6" t="s">
        <v>53</v>
      </c>
      <c r="AD1106" s="26" t="s">
        <v>52</v>
      </c>
      <c r="AE1106" s="7">
        <v>152</v>
      </c>
      <c r="AF1106" s="6">
        <v>181</v>
      </c>
      <c r="AG1106" s="10" t="s">
        <v>40</v>
      </c>
      <c r="AH1106" s="54" t="s">
        <v>232</v>
      </c>
    </row>
    <row r="1107" ht="13.9" spans="1:34">
      <c r="A1107" s="6" t="s">
        <v>202</v>
      </c>
      <c r="B1107" s="7">
        <v>0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1.44</v>
      </c>
      <c r="T1107" s="8">
        <f>100-SUM(B1107:S1107)</f>
        <v>98.56</v>
      </c>
      <c r="U1107" s="7">
        <v>25</v>
      </c>
      <c r="V1107" s="6">
        <v>25</v>
      </c>
      <c r="W1107" s="6">
        <v>0</v>
      </c>
      <c r="X1107" s="6" t="s">
        <v>42</v>
      </c>
      <c r="Y1107" s="6" t="s">
        <v>35</v>
      </c>
      <c r="Z1107" s="6" t="s">
        <v>37</v>
      </c>
      <c r="AA1107" s="6" t="s">
        <v>37</v>
      </c>
      <c r="AB1107" s="6" t="s">
        <v>37</v>
      </c>
      <c r="AC1107" s="6" t="s">
        <v>53</v>
      </c>
      <c r="AD1107" s="26" t="s">
        <v>52</v>
      </c>
      <c r="AE1107" s="7">
        <v>148</v>
      </c>
      <c r="AF1107" s="6">
        <v>179</v>
      </c>
      <c r="AG1107" s="10" t="s">
        <v>40</v>
      </c>
      <c r="AH1107" s="54" t="s">
        <v>232</v>
      </c>
    </row>
    <row r="1108" ht="13.9" spans="1:34">
      <c r="A1108" s="6" t="s">
        <v>202</v>
      </c>
      <c r="B1108" s="7">
        <v>0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0.1</v>
      </c>
      <c r="S1108" s="6">
        <v>0</v>
      </c>
      <c r="T1108" s="8">
        <v>99.9</v>
      </c>
      <c r="U1108" s="7">
        <v>25</v>
      </c>
      <c r="V1108" s="6">
        <v>25</v>
      </c>
      <c r="W1108" s="6">
        <v>0</v>
      </c>
      <c r="X1108" s="6" t="s">
        <v>42</v>
      </c>
      <c r="Y1108" s="6" t="s">
        <v>35</v>
      </c>
      <c r="Z1108" s="6" t="s">
        <v>37</v>
      </c>
      <c r="AA1108" s="6" t="s">
        <v>37</v>
      </c>
      <c r="AB1108" s="6" t="s">
        <v>37</v>
      </c>
      <c r="AC1108" s="6" t="s">
        <v>53</v>
      </c>
      <c r="AD1108" s="26" t="s">
        <v>52</v>
      </c>
      <c r="AE1108" s="7">
        <v>165</v>
      </c>
      <c r="AF1108" s="6">
        <v>176</v>
      </c>
      <c r="AG1108" s="10">
        <v>5</v>
      </c>
      <c r="AH1108" s="54" t="s">
        <v>232</v>
      </c>
    </row>
    <row r="1109" ht="13.9" spans="1:34">
      <c r="A1109" s="6" t="s">
        <v>202</v>
      </c>
      <c r="B1109" s="7">
        <v>0</v>
      </c>
      <c r="C1109" s="6">
        <v>0</v>
      </c>
      <c r="D1109" s="6">
        <v>0</v>
      </c>
      <c r="E1109" s="6">
        <v>0.75</v>
      </c>
      <c r="F1109" s="6">
        <v>0</v>
      </c>
      <c r="G1109" s="6">
        <v>0.25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8">
        <v>99</v>
      </c>
      <c r="U1109" s="7">
        <v>25</v>
      </c>
      <c r="V1109" s="6">
        <v>288</v>
      </c>
      <c r="W1109" s="6">
        <v>8</v>
      </c>
      <c r="X1109" s="6" t="s">
        <v>42</v>
      </c>
      <c r="Y1109" s="6" t="s">
        <v>35</v>
      </c>
      <c r="Z1109" s="6" t="s">
        <v>37</v>
      </c>
      <c r="AA1109" s="6" t="s">
        <v>74</v>
      </c>
      <c r="AB1109" s="6" t="s">
        <v>37</v>
      </c>
      <c r="AC1109" s="6" t="s">
        <v>53</v>
      </c>
      <c r="AD1109" s="26" t="s">
        <v>164</v>
      </c>
      <c r="AE1109" s="7">
        <v>161</v>
      </c>
      <c r="AF1109" s="6">
        <v>170</v>
      </c>
      <c r="AG1109" s="10">
        <v>5</v>
      </c>
      <c r="AH1109" s="54" t="s">
        <v>232</v>
      </c>
    </row>
    <row r="1110" ht="13.9" spans="1:34">
      <c r="A1110" s="6" t="s">
        <v>202</v>
      </c>
      <c r="B1110" s="7">
        <v>0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0.66</v>
      </c>
      <c r="T1110" s="8">
        <f>100-SUM(B1110:S1110)</f>
        <v>99.34</v>
      </c>
      <c r="U1110" s="7">
        <v>25</v>
      </c>
      <c r="V1110" s="6">
        <v>25</v>
      </c>
      <c r="W1110" s="6">
        <v>0</v>
      </c>
      <c r="X1110" s="6" t="s">
        <v>42</v>
      </c>
      <c r="Y1110" s="6" t="s">
        <v>35</v>
      </c>
      <c r="Z1110" s="6" t="s">
        <v>37</v>
      </c>
      <c r="AA1110" s="6" t="s">
        <v>37</v>
      </c>
      <c r="AB1110" s="6" t="s">
        <v>37</v>
      </c>
      <c r="AC1110" s="6" t="s">
        <v>53</v>
      </c>
      <c r="AD1110" s="26" t="s">
        <v>52</v>
      </c>
      <c r="AE1110" s="7">
        <v>151</v>
      </c>
      <c r="AF1110" s="6">
        <v>170</v>
      </c>
      <c r="AG1110" s="10" t="s">
        <v>40</v>
      </c>
      <c r="AH1110" s="54" t="s">
        <v>232</v>
      </c>
    </row>
    <row r="1111" ht="13.9" spans="1:34">
      <c r="A1111" s="6" t="s">
        <v>202</v>
      </c>
      <c r="B1111" s="7">
        <v>0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0.38</v>
      </c>
      <c r="T1111" s="8">
        <f>100-SUM(B1111:S1111)</f>
        <v>99.62</v>
      </c>
      <c r="U1111" s="7">
        <v>25</v>
      </c>
      <c r="V1111" s="6">
        <v>25</v>
      </c>
      <c r="W1111" s="6">
        <v>0</v>
      </c>
      <c r="X1111" s="6" t="s">
        <v>42</v>
      </c>
      <c r="Y1111" s="6" t="s">
        <v>35</v>
      </c>
      <c r="Z1111" s="6" t="s">
        <v>37</v>
      </c>
      <c r="AA1111" s="6" t="s">
        <v>37</v>
      </c>
      <c r="AB1111" s="6" t="s">
        <v>37</v>
      </c>
      <c r="AC1111" s="6" t="s">
        <v>53</v>
      </c>
      <c r="AD1111" s="26" t="s">
        <v>52</v>
      </c>
      <c r="AE1111" s="7">
        <v>159</v>
      </c>
      <c r="AF1111" s="6">
        <v>168</v>
      </c>
      <c r="AG1111" s="10" t="s">
        <v>40</v>
      </c>
      <c r="AH1111" s="54" t="s">
        <v>232</v>
      </c>
    </row>
    <row r="1112" ht="13.9" spans="1:34">
      <c r="A1112" s="6" t="s">
        <v>202</v>
      </c>
      <c r="B1112" s="7">
        <v>0</v>
      </c>
      <c r="C1112" s="6">
        <v>0.3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8">
        <v>99.7</v>
      </c>
      <c r="U1112" s="7">
        <v>25</v>
      </c>
      <c r="V1112" s="6">
        <v>25</v>
      </c>
      <c r="W1112" s="6">
        <v>0</v>
      </c>
      <c r="X1112" s="6" t="s">
        <v>42</v>
      </c>
      <c r="Y1112" s="6" t="s">
        <v>35</v>
      </c>
      <c r="Z1112" s="6" t="s">
        <v>37</v>
      </c>
      <c r="AA1112" s="6" t="s">
        <v>37</v>
      </c>
      <c r="AB1112" s="6" t="s">
        <v>37</v>
      </c>
      <c r="AC1112" s="6" t="s">
        <v>53</v>
      </c>
      <c r="AD1112" s="26" t="s">
        <v>52</v>
      </c>
      <c r="AE1112" s="7">
        <v>140</v>
      </c>
      <c r="AF1112" s="6">
        <v>161</v>
      </c>
      <c r="AG1112" s="10">
        <v>5</v>
      </c>
      <c r="AH1112" s="54" t="s">
        <v>232</v>
      </c>
    </row>
    <row r="1113" ht="13.9" spans="1:34">
      <c r="A1113" s="6" t="s">
        <v>202</v>
      </c>
      <c r="B1113" s="7">
        <v>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0.23</v>
      </c>
      <c r="T1113" s="8">
        <v>99.77</v>
      </c>
      <c r="U1113" s="7">
        <v>649</v>
      </c>
      <c r="V1113" s="6">
        <v>288</v>
      </c>
      <c r="W1113" s="6">
        <v>8</v>
      </c>
      <c r="X1113" s="6" t="s">
        <v>42</v>
      </c>
      <c r="Y1113" s="6" t="s">
        <v>73</v>
      </c>
      <c r="Z1113" s="6" t="s">
        <v>37</v>
      </c>
      <c r="AA1113" s="6" t="s">
        <v>74</v>
      </c>
      <c r="AB1113" s="6" t="s">
        <v>37</v>
      </c>
      <c r="AC1113" s="6" t="s">
        <v>53</v>
      </c>
      <c r="AD1113" s="26" t="s">
        <v>77</v>
      </c>
      <c r="AE1113" s="7">
        <v>147</v>
      </c>
      <c r="AF1113" s="6">
        <v>157</v>
      </c>
      <c r="AG1113" s="10" t="s">
        <v>40</v>
      </c>
      <c r="AH1113" s="54" t="s">
        <v>232</v>
      </c>
    </row>
    <row r="1114" ht="13.9" spans="1:34">
      <c r="A1114" s="6" t="s">
        <v>202</v>
      </c>
      <c r="B1114" s="7">
        <v>0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0.29</v>
      </c>
      <c r="T1114" s="8">
        <f t="shared" ref="T1114:T1120" si="39">100-SUM(B1114:S1114)</f>
        <v>99.71</v>
      </c>
      <c r="U1114" s="7">
        <v>25</v>
      </c>
      <c r="V1114" s="6">
        <v>25</v>
      </c>
      <c r="W1114" s="6">
        <v>0</v>
      </c>
      <c r="X1114" s="6" t="s">
        <v>42</v>
      </c>
      <c r="Y1114" s="6" t="s">
        <v>35</v>
      </c>
      <c r="Z1114" s="6" t="s">
        <v>37</v>
      </c>
      <c r="AA1114" s="6" t="s">
        <v>37</v>
      </c>
      <c r="AB1114" s="6" t="s">
        <v>37</v>
      </c>
      <c r="AC1114" s="6" t="s">
        <v>53</v>
      </c>
      <c r="AD1114" s="26" t="s">
        <v>52</v>
      </c>
      <c r="AE1114" s="7">
        <v>142</v>
      </c>
      <c r="AF1114" s="6">
        <v>151</v>
      </c>
      <c r="AG1114" s="10">
        <v>5</v>
      </c>
      <c r="AH1114" s="54" t="s">
        <v>232</v>
      </c>
    </row>
    <row r="1115" ht="13.9" spans="1:34">
      <c r="A1115" s="6" t="s">
        <v>202</v>
      </c>
      <c r="B1115" s="7">
        <v>0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0.14</v>
      </c>
      <c r="T1115" s="8">
        <f t="shared" si="39"/>
        <v>99.86</v>
      </c>
      <c r="U1115" s="7">
        <v>25</v>
      </c>
      <c r="V1115" s="6">
        <v>288</v>
      </c>
      <c r="W1115" s="6">
        <v>8</v>
      </c>
      <c r="X1115" s="6" t="s">
        <v>42</v>
      </c>
      <c r="Y1115" s="6" t="s">
        <v>35</v>
      </c>
      <c r="Z1115" s="6" t="s">
        <v>37</v>
      </c>
      <c r="AA1115" s="6" t="s">
        <v>74</v>
      </c>
      <c r="AB1115" s="6" t="s">
        <v>37</v>
      </c>
      <c r="AC1115" s="6" t="s">
        <v>53</v>
      </c>
      <c r="AD1115" s="26" t="s">
        <v>164</v>
      </c>
      <c r="AE1115" s="7">
        <v>139</v>
      </c>
      <c r="AF1115" s="6">
        <v>148</v>
      </c>
      <c r="AG1115" s="10" t="s">
        <v>40</v>
      </c>
      <c r="AH1115" s="54" t="s">
        <v>232</v>
      </c>
    </row>
    <row r="1116" ht="13.9" spans="1:34">
      <c r="A1116" s="6" t="s">
        <v>202</v>
      </c>
      <c r="B1116" s="7">
        <v>0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0.14</v>
      </c>
      <c r="T1116" s="8">
        <f t="shared" si="39"/>
        <v>99.86</v>
      </c>
      <c r="U1116" s="7">
        <v>25</v>
      </c>
      <c r="V1116" s="6">
        <v>25</v>
      </c>
      <c r="W1116" s="6">
        <v>0</v>
      </c>
      <c r="X1116" s="6" t="s">
        <v>42</v>
      </c>
      <c r="Y1116" s="6" t="s">
        <v>35</v>
      </c>
      <c r="Z1116" s="6" t="s">
        <v>37</v>
      </c>
      <c r="AA1116" s="6" t="s">
        <v>37</v>
      </c>
      <c r="AB1116" s="6" t="s">
        <v>37</v>
      </c>
      <c r="AC1116" s="6" t="s">
        <v>53</v>
      </c>
      <c r="AD1116" s="26" t="s">
        <v>52</v>
      </c>
      <c r="AE1116" s="7">
        <v>136</v>
      </c>
      <c r="AF1116" s="6">
        <v>145</v>
      </c>
      <c r="AG1116" s="10" t="s">
        <v>40</v>
      </c>
      <c r="AH1116" s="31" t="s">
        <v>232</v>
      </c>
    </row>
    <row r="1117" ht="13.9" spans="1:34">
      <c r="A1117" s="6" t="s">
        <v>202</v>
      </c>
      <c r="B1117" s="7">
        <v>0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0.2</v>
      </c>
      <c r="T1117" s="8">
        <f t="shared" si="39"/>
        <v>99.8</v>
      </c>
      <c r="U1117" s="7">
        <v>25</v>
      </c>
      <c r="V1117" s="6">
        <v>25</v>
      </c>
      <c r="W1117" s="6">
        <v>0</v>
      </c>
      <c r="X1117" s="6" t="s">
        <v>42</v>
      </c>
      <c r="Y1117" s="6" t="s">
        <v>35</v>
      </c>
      <c r="Z1117" s="6" t="s">
        <v>37</v>
      </c>
      <c r="AA1117" s="6" t="s">
        <v>37</v>
      </c>
      <c r="AB1117" s="6" t="s">
        <v>37</v>
      </c>
      <c r="AC1117" s="6" t="s">
        <v>53</v>
      </c>
      <c r="AD1117" s="26" t="s">
        <v>52</v>
      </c>
      <c r="AE1117" s="7">
        <v>134</v>
      </c>
      <c r="AF1117" s="6">
        <v>143</v>
      </c>
      <c r="AG1117" s="10">
        <v>4</v>
      </c>
      <c r="AH1117" s="31" t="s">
        <v>232</v>
      </c>
    </row>
    <row r="1118" ht="13.9" spans="1:34">
      <c r="A1118" s="6" t="s">
        <v>202</v>
      </c>
      <c r="B1118" s="7">
        <v>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0.23</v>
      </c>
      <c r="T1118" s="8">
        <f t="shared" si="39"/>
        <v>99.77</v>
      </c>
      <c r="U1118" s="7">
        <v>25</v>
      </c>
      <c r="V1118" s="6">
        <v>25</v>
      </c>
      <c r="W1118" s="6">
        <v>0</v>
      </c>
      <c r="X1118" s="6" t="s">
        <v>42</v>
      </c>
      <c r="Y1118" s="6" t="s">
        <v>35</v>
      </c>
      <c r="Z1118" s="6" t="s">
        <v>37</v>
      </c>
      <c r="AA1118" s="6" t="s">
        <v>37</v>
      </c>
      <c r="AB1118" s="6" t="s">
        <v>37</v>
      </c>
      <c r="AC1118" s="6" t="s">
        <v>53</v>
      </c>
      <c r="AD1118" s="26" t="s">
        <v>52</v>
      </c>
      <c r="AE1118" s="7">
        <v>137</v>
      </c>
      <c r="AF1118" s="6">
        <v>140</v>
      </c>
      <c r="AG1118" s="10" t="s">
        <v>40</v>
      </c>
      <c r="AH1118" s="31" t="s">
        <v>232</v>
      </c>
    </row>
    <row r="1119" ht="13.9" spans="1:34">
      <c r="A1119" s="6" t="s">
        <v>202</v>
      </c>
      <c r="B1119" s="7">
        <v>0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0.041</v>
      </c>
      <c r="T1119" s="8">
        <f t="shared" si="39"/>
        <v>99.959</v>
      </c>
      <c r="U1119" s="7">
        <v>25</v>
      </c>
      <c r="V1119" s="6">
        <v>25</v>
      </c>
      <c r="W1119" s="6">
        <v>0</v>
      </c>
      <c r="X1119" s="6" t="s">
        <v>42</v>
      </c>
      <c r="Y1119" s="6" t="s">
        <v>35</v>
      </c>
      <c r="Z1119" s="6" t="s">
        <v>37</v>
      </c>
      <c r="AA1119" s="6" t="s">
        <v>37</v>
      </c>
      <c r="AB1119" s="6" t="s">
        <v>37</v>
      </c>
      <c r="AC1119" s="6" t="s">
        <v>53</v>
      </c>
      <c r="AD1119" s="26" t="s">
        <v>52</v>
      </c>
      <c r="AE1119" s="7">
        <v>127</v>
      </c>
      <c r="AF1119" s="6">
        <v>139</v>
      </c>
      <c r="AG1119" s="10" t="s">
        <v>40</v>
      </c>
      <c r="AH1119" s="31" t="s">
        <v>232</v>
      </c>
    </row>
    <row r="1120" ht="13.9" spans="1:34">
      <c r="A1120" s="6" t="s">
        <v>202</v>
      </c>
      <c r="B1120" s="7">
        <v>0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0.077</v>
      </c>
      <c r="T1120" s="8">
        <f t="shared" si="39"/>
        <v>99.923</v>
      </c>
      <c r="U1120" s="7">
        <v>25</v>
      </c>
      <c r="V1120" s="6">
        <v>25</v>
      </c>
      <c r="W1120" s="6">
        <v>0</v>
      </c>
      <c r="X1120" s="6" t="s">
        <v>42</v>
      </c>
      <c r="Y1120" s="6" t="s">
        <v>35</v>
      </c>
      <c r="Z1120" s="6" t="s">
        <v>37</v>
      </c>
      <c r="AA1120" s="6" t="s">
        <v>37</v>
      </c>
      <c r="AB1120" s="6" t="s">
        <v>37</v>
      </c>
      <c r="AC1120" s="6" t="s">
        <v>53</v>
      </c>
      <c r="AD1120" s="26" t="s">
        <v>52</v>
      </c>
      <c r="AE1120" s="7">
        <v>127</v>
      </c>
      <c r="AF1120" s="6">
        <v>139</v>
      </c>
      <c r="AG1120" s="10" t="s">
        <v>40</v>
      </c>
      <c r="AH1120" s="31" t="s">
        <v>232</v>
      </c>
    </row>
    <row r="1121" ht="13.9" spans="1:34">
      <c r="A1121" s="6" t="s">
        <v>202</v>
      </c>
      <c r="B1121" s="7">
        <v>0</v>
      </c>
      <c r="C1121" s="6">
        <v>0</v>
      </c>
      <c r="D1121" s="6">
        <v>3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8">
        <v>97</v>
      </c>
      <c r="U1121" s="7">
        <v>25</v>
      </c>
      <c r="V1121" s="6">
        <v>288</v>
      </c>
      <c r="W1121" s="6">
        <v>8</v>
      </c>
      <c r="X1121" s="6" t="s">
        <v>42</v>
      </c>
      <c r="Y1121" s="6" t="s">
        <v>35</v>
      </c>
      <c r="Z1121" s="6" t="s">
        <v>37</v>
      </c>
      <c r="AA1121" s="6" t="s">
        <v>74</v>
      </c>
      <c r="AB1121" s="6" t="s">
        <v>37</v>
      </c>
      <c r="AC1121" s="6" t="s">
        <v>53</v>
      </c>
      <c r="AD1121" s="26" t="s">
        <v>164</v>
      </c>
      <c r="AE1121" s="7">
        <v>63</v>
      </c>
      <c r="AF1121" s="6">
        <v>139</v>
      </c>
      <c r="AG1121" s="10">
        <v>21</v>
      </c>
      <c r="AH1121" s="31" t="s">
        <v>232</v>
      </c>
    </row>
    <row r="1122" ht="13.9" spans="1:34">
      <c r="A1122" s="6" t="s">
        <v>202</v>
      </c>
      <c r="B1122" s="7">
        <v>0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0.1</v>
      </c>
      <c r="T1122" s="8">
        <f>100-SUM(B1122:S1122)</f>
        <v>99.9</v>
      </c>
      <c r="U1122" s="7">
        <v>25</v>
      </c>
      <c r="V1122" s="6">
        <v>25</v>
      </c>
      <c r="W1122" s="6">
        <v>0</v>
      </c>
      <c r="X1122" s="6" t="s">
        <v>42</v>
      </c>
      <c r="Y1122" s="6" t="s">
        <v>35</v>
      </c>
      <c r="Z1122" s="6" t="s">
        <v>37</v>
      </c>
      <c r="AA1122" s="6" t="s">
        <v>37</v>
      </c>
      <c r="AB1122" s="6" t="s">
        <v>37</v>
      </c>
      <c r="AC1122" s="6" t="s">
        <v>53</v>
      </c>
      <c r="AD1122" s="26" t="s">
        <v>52</v>
      </c>
      <c r="AE1122" s="7">
        <v>126</v>
      </c>
      <c r="AF1122" s="6">
        <v>136</v>
      </c>
      <c r="AG1122" s="10">
        <v>4</v>
      </c>
      <c r="AH1122" s="31" t="s">
        <v>232</v>
      </c>
    </row>
    <row r="1123" ht="13.9" spans="1:34">
      <c r="A1123" s="6" t="s">
        <v>202</v>
      </c>
      <c r="B1123" s="7">
        <v>0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0.013</v>
      </c>
      <c r="T1123" s="8">
        <f>100-SUM(B1123:S1123)</f>
        <v>99.987</v>
      </c>
      <c r="U1123" s="7">
        <v>25</v>
      </c>
      <c r="V1123" s="6">
        <v>25</v>
      </c>
      <c r="W1123" s="6">
        <v>0</v>
      </c>
      <c r="X1123" s="6" t="s">
        <v>42</v>
      </c>
      <c r="Y1123" s="6" t="s">
        <v>35</v>
      </c>
      <c r="Z1123" s="6" t="s">
        <v>37</v>
      </c>
      <c r="AA1123" s="6" t="s">
        <v>37</v>
      </c>
      <c r="AB1123" s="6" t="s">
        <v>37</v>
      </c>
      <c r="AC1123" s="6" t="s">
        <v>53</v>
      </c>
      <c r="AD1123" s="26" t="s">
        <v>52</v>
      </c>
      <c r="AE1123" s="7">
        <v>126</v>
      </c>
      <c r="AF1123" s="6">
        <v>132</v>
      </c>
      <c r="AG1123" s="10" t="s">
        <v>40</v>
      </c>
      <c r="AH1123" s="31" t="s">
        <v>232</v>
      </c>
    </row>
    <row r="1124" ht="13.9" spans="1:34">
      <c r="A1124" s="6" t="s">
        <v>202</v>
      </c>
      <c r="B1124" s="7">
        <v>0</v>
      </c>
      <c r="C1124" s="6">
        <v>0.5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1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8">
        <v>98.5</v>
      </c>
      <c r="U1124" s="7">
        <v>25</v>
      </c>
      <c r="V1124" s="6">
        <v>288</v>
      </c>
      <c r="W1124" s="6">
        <v>8</v>
      </c>
      <c r="X1124" s="6" t="s">
        <v>42</v>
      </c>
      <c r="Y1124" s="6" t="s">
        <v>35</v>
      </c>
      <c r="Z1124" s="6" t="s">
        <v>37</v>
      </c>
      <c r="AA1124" s="6" t="s">
        <v>74</v>
      </c>
      <c r="AB1124" s="6" t="s">
        <v>37</v>
      </c>
      <c r="AC1124" s="6" t="s">
        <v>53</v>
      </c>
      <c r="AD1124" s="26" t="s">
        <v>164</v>
      </c>
      <c r="AE1124" s="7">
        <v>59</v>
      </c>
      <c r="AF1124" s="6">
        <v>111</v>
      </c>
      <c r="AG1124" s="10">
        <v>20</v>
      </c>
      <c r="AH1124" s="31" t="s">
        <v>232</v>
      </c>
    </row>
    <row r="1125" ht="13.9" spans="1:34">
      <c r="A1125" s="6" t="s">
        <v>202</v>
      </c>
      <c r="B1125" s="7">
        <v>0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0.14</v>
      </c>
      <c r="T1125" s="8">
        <v>99.86</v>
      </c>
      <c r="U1125" s="7">
        <v>649</v>
      </c>
      <c r="V1125" s="6">
        <v>288</v>
      </c>
      <c r="W1125" s="6">
        <v>8</v>
      </c>
      <c r="X1125" s="6" t="s">
        <v>42</v>
      </c>
      <c r="Y1125" s="6" t="s">
        <v>73</v>
      </c>
      <c r="Z1125" s="6" t="s">
        <v>79</v>
      </c>
      <c r="AA1125" s="6" t="s">
        <v>74</v>
      </c>
      <c r="AB1125" s="6" t="s">
        <v>37</v>
      </c>
      <c r="AC1125" s="6" t="s">
        <v>53</v>
      </c>
      <c r="AD1125" s="26" t="s">
        <v>83</v>
      </c>
      <c r="AE1125" s="7">
        <v>97</v>
      </c>
      <c r="AF1125" s="6">
        <v>110</v>
      </c>
      <c r="AG1125" s="10" t="s">
        <v>40</v>
      </c>
      <c r="AH1125" s="31" t="s">
        <v>232</v>
      </c>
    </row>
    <row r="1126" ht="13.9" spans="1:34">
      <c r="A1126" s="6" t="s">
        <v>202</v>
      </c>
      <c r="B1126" s="7">
        <v>0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0.077</v>
      </c>
      <c r="T1126" s="8">
        <f>100-SUM(B1126:S1126)</f>
        <v>99.923</v>
      </c>
      <c r="U1126" s="7">
        <v>25</v>
      </c>
      <c r="V1126" s="6">
        <v>288</v>
      </c>
      <c r="W1126" s="6">
        <v>8</v>
      </c>
      <c r="X1126" s="6" t="s">
        <v>42</v>
      </c>
      <c r="Y1126" s="6" t="s">
        <v>35</v>
      </c>
      <c r="Z1126" s="6" t="s">
        <v>37</v>
      </c>
      <c r="AA1126" s="6" t="s">
        <v>74</v>
      </c>
      <c r="AB1126" s="6" t="s">
        <v>37</v>
      </c>
      <c r="AC1126" s="6" t="s">
        <v>53</v>
      </c>
      <c r="AD1126" s="26" t="s">
        <v>164</v>
      </c>
      <c r="AE1126" s="7">
        <v>92</v>
      </c>
      <c r="AF1126" s="6">
        <v>93</v>
      </c>
      <c r="AG1126" s="10" t="s">
        <v>40</v>
      </c>
      <c r="AH1126" s="31" t="s">
        <v>232</v>
      </c>
    </row>
    <row r="1127" ht="13.9" spans="1:34">
      <c r="A1127" s="6" t="s">
        <v>202</v>
      </c>
      <c r="B1127" s="7">
        <v>0</v>
      </c>
      <c r="C1127" s="6">
        <v>0.3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8">
        <v>99.7</v>
      </c>
      <c r="U1127" s="7">
        <v>25</v>
      </c>
      <c r="V1127" s="6">
        <v>288</v>
      </c>
      <c r="W1127" s="6">
        <v>8</v>
      </c>
      <c r="X1127" s="6" t="s">
        <v>42</v>
      </c>
      <c r="Y1127" s="6" t="s">
        <v>35</v>
      </c>
      <c r="Z1127" s="6" t="s">
        <v>37</v>
      </c>
      <c r="AA1127" s="6" t="s">
        <v>74</v>
      </c>
      <c r="AB1127" s="6" t="s">
        <v>37</v>
      </c>
      <c r="AC1127" s="6" t="s">
        <v>53</v>
      </c>
      <c r="AD1127" s="26" t="s">
        <v>164</v>
      </c>
      <c r="AE1127" s="7">
        <v>65</v>
      </c>
      <c r="AF1127" s="6">
        <v>90</v>
      </c>
      <c r="AG1127" s="10">
        <v>14</v>
      </c>
      <c r="AH1127" s="31" t="s">
        <v>232</v>
      </c>
    </row>
    <row r="1128" ht="13.9" spans="1:34">
      <c r="A1128" s="6" t="s">
        <v>202</v>
      </c>
      <c r="B1128" s="7">
        <v>0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0.66</v>
      </c>
      <c r="T1128" s="8">
        <v>99.34</v>
      </c>
      <c r="U1128" s="7">
        <v>649</v>
      </c>
      <c r="V1128" s="6">
        <v>25</v>
      </c>
      <c r="W1128" s="6">
        <v>0</v>
      </c>
      <c r="X1128" s="6" t="s">
        <v>42</v>
      </c>
      <c r="Y1128" s="6" t="s">
        <v>73</v>
      </c>
      <c r="Z1128" s="6" t="s">
        <v>37</v>
      </c>
      <c r="AA1128" s="6" t="s">
        <v>80</v>
      </c>
      <c r="AB1128" s="6" t="s">
        <v>37</v>
      </c>
      <c r="AC1128" s="6" t="s">
        <v>53</v>
      </c>
      <c r="AD1128" s="26" t="s">
        <v>86</v>
      </c>
      <c r="AE1128" s="7">
        <v>30</v>
      </c>
      <c r="AF1128" s="6">
        <v>90</v>
      </c>
      <c r="AG1128" s="10" t="s">
        <v>40</v>
      </c>
      <c r="AH1128" s="31" t="s">
        <v>232</v>
      </c>
    </row>
    <row r="1129" ht="13.9" spans="1:34">
      <c r="A1129" s="6" t="s">
        <v>202</v>
      </c>
      <c r="B1129" s="7">
        <v>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1.44</v>
      </c>
      <c r="T1129" s="8">
        <v>98.56</v>
      </c>
      <c r="U1129" s="7">
        <v>649</v>
      </c>
      <c r="V1129" s="6">
        <v>25</v>
      </c>
      <c r="W1129" s="6">
        <v>0</v>
      </c>
      <c r="X1129" s="6" t="s">
        <v>42</v>
      </c>
      <c r="Y1129" s="6" t="s">
        <v>73</v>
      </c>
      <c r="Z1129" s="6" t="s">
        <v>37</v>
      </c>
      <c r="AA1129" s="6" t="s">
        <v>80</v>
      </c>
      <c r="AB1129" s="6" t="s">
        <v>37</v>
      </c>
      <c r="AC1129" s="6" t="s">
        <v>53</v>
      </c>
      <c r="AD1129" s="26" t="s">
        <v>86</v>
      </c>
      <c r="AE1129" s="7">
        <v>28</v>
      </c>
      <c r="AF1129" s="6">
        <v>81</v>
      </c>
      <c r="AG1129" s="10" t="s">
        <v>40</v>
      </c>
      <c r="AH1129" s="31" t="s">
        <v>232</v>
      </c>
    </row>
    <row r="1130" ht="13.9" spans="1:34">
      <c r="A1130" s="6" t="s">
        <v>202</v>
      </c>
      <c r="B1130" s="7">
        <v>0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1.1</v>
      </c>
      <c r="T1130" s="8">
        <v>98.9</v>
      </c>
      <c r="U1130" s="7">
        <v>649</v>
      </c>
      <c r="V1130" s="6">
        <v>25</v>
      </c>
      <c r="W1130" s="6">
        <v>0</v>
      </c>
      <c r="X1130" s="6" t="s">
        <v>42</v>
      </c>
      <c r="Y1130" s="6" t="s">
        <v>73</v>
      </c>
      <c r="Z1130" s="6" t="s">
        <v>37</v>
      </c>
      <c r="AA1130" s="6" t="s">
        <v>80</v>
      </c>
      <c r="AB1130" s="6" t="s">
        <v>37</v>
      </c>
      <c r="AC1130" s="6" t="s">
        <v>53</v>
      </c>
      <c r="AD1130" s="26" t="s">
        <v>86</v>
      </c>
      <c r="AE1130" s="7">
        <v>26</v>
      </c>
      <c r="AF1130" s="6">
        <v>80</v>
      </c>
      <c r="AG1130" s="10" t="s">
        <v>40</v>
      </c>
      <c r="AH1130" s="31" t="s">
        <v>232</v>
      </c>
    </row>
    <row r="1131" ht="13.9" spans="1:34">
      <c r="A1131" s="6" t="s">
        <v>202</v>
      </c>
      <c r="B1131" s="7">
        <v>0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0.077</v>
      </c>
      <c r="T1131" s="8">
        <v>99.923</v>
      </c>
      <c r="U1131" s="7">
        <v>649</v>
      </c>
      <c r="V1131" s="6">
        <v>288</v>
      </c>
      <c r="W1131" s="6">
        <v>8</v>
      </c>
      <c r="X1131" s="6" t="s">
        <v>42</v>
      </c>
      <c r="Y1131" s="6" t="s">
        <v>73</v>
      </c>
      <c r="Z1131" s="6" t="s">
        <v>79</v>
      </c>
      <c r="AA1131" s="6" t="s">
        <v>74</v>
      </c>
      <c r="AB1131" s="6" t="s">
        <v>37</v>
      </c>
      <c r="AC1131" s="6" t="s">
        <v>53</v>
      </c>
      <c r="AD1131" s="26" t="s">
        <v>83</v>
      </c>
      <c r="AE1131" s="7">
        <v>75</v>
      </c>
      <c r="AF1131" s="6">
        <v>77</v>
      </c>
      <c r="AG1131" s="10" t="s">
        <v>40</v>
      </c>
      <c r="AH1131" s="31" t="s">
        <v>232</v>
      </c>
    </row>
    <row r="1132" ht="13.9" spans="1:34">
      <c r="A1132" s="6" t="s">
        <v>202</v>
      </c>
      <c r="B1132" s="7">
        <v>0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0.041</v>
      </c>
      <c r="T1132" s="8">
        <f>100-SUM(B1132:S1132)</f>
        <v>99.959</v>
      </c>
      <c r="U1132" s="7">
        <v>25</v>
      </c>
      <c r="V1132" s="6">
        <v>288</v>
      </c>
      <c r="W1132" s="6">
        <v>8</v>
      </c>
      <c r="X1132" s="6" t="s">
        <v>42</v>
      </c>
      <c r="Y1132" s="6" t="s">
        <v>35</v>
      </c>
      <c r="Z1132" s="6" t="s">
        <v>37</v>
      </c>
      <c r="AA1132" s="6" t="s">
        <v>74</v>
      </c>
      <c r="AB1132" s="6" t="s">
        <v>37</v>
      </c>
      <c r="AC1132" s="6" t="s">
        <v>53</v>
      </c>
      <c r="AD1132" s="26" t="s">
        <v>164</v>
      </c>
      <c r="AE1132" s="7">
        <v>65</v>
      </c>
      <c r="AF1132" s="6">
        <v>75</v>
      </c>
      <c r="AG1132" s="10" t="s">
        <v>40</v>
      </c>
      <c r="AH1132" s="31" t="s">
        <v>232</v>
      </c>
    </row>
    <row r="1133" ht="13.9" spans="1:34">
      <c r="A1133" s="6" t="s">
        <v>202</v>
      </c>
      <c r="B1133" s="7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0.14</v>
      </c>
      <c r="T1133" s="8">
        <v>99.86</v>
      </c>
      <c r="U1133" s="7">
        <v>649</v>
      </c>
      <c r="V1133" s="6">
        <v>288</v>
      </c>
      <c r="W1133" s="6">
        <v>8</v>
      </c>
      <c r="X1133" s="6" t="s">
        <v>42</v>
      </c>
      <c r="Y1133" s="6" t="s">
        <v>73</v>
      </c>
      <c r="Z1133" s="6" t="s">
        <v>37</v>
      </c>
      <c r="AA1133" s="6" t="s">
        <v>74</v>
      </c>
      <c r="AB1133" s="6" t="s">
        <v>37</v>
      </c>
      <c r="AC1133" s="6" t="s">
        <v>53</v>
      </c>
      <c r="AD1133" s="26" t="s">
        <v>77</v>
      </c>
      <c r="AE1133" s="7">
        <v>47</v>
      </c>
      <c r="AF1133" s="6">
        <v>72</v>
      </c>
      <c r="AG1133" s="10" t="s">
        <v>40</v>
      </c>
      <c r="AH1133" s="31" t="s">
        <v>232</v>
      </c>
    </row>
    <row r="1134" ht="13.9" spans="1:34">
      <c r="A1134" s="6" t="s">
        <v>202</v>
      </c>
      <c r="B1134" s="7">
        <v>0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0.041</v>
      </c>
      <c r="T1134" s="8">
        <v>99.959</v>
      </c>
      <c r="U1134" s="7">
        <v>649</v>
      </c>
      <c r="V1134" s="6">
        <v>288</v>
      </c>
      <c r="W1134" s="6">
        <v>8</v>
      </c>
      <c r="X1134" s="6" t="s">
        <v>42</v>
      </c>
      <c r="Y1134" s="6" t="s">
        <v>73</v>
      </c>
      <c r="Z1134" s="6" t="s">
        <v>79</v>
      </c>
      <c r="AA1134" s="6" t="s">
        <v>74</v>
      </c>
      <c r="AB1134" s="6" t="s">
        <v>37</v>
      </c>
      <c r="AC1134" s="6" t="s">
        <v>53</v>
      </c>
      <c r="AD1134" s="26" t="s">
        <v>83</v>
      </c>
      <c r="AE1134" s="7">
        <v>59</v>
      </c>
      <c r="AF1134" s="6">
        <v>61</v>
      </c>
      <c r="AG1134" s="10" t="s">
        <v>40</v>
      </c>
      <c r="AH1134" s="31" t="s">
        <v>232</v>
      </c>
    </row>
    <row r="1135" ht="13.9" spans="1:34">
      <c r="A1135" s="6" t="s">
        <v>202</v>
      </c>
      <c r="B1135" s="7">
        <v>0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0.013</v>
      </c>
      <c r="T1135" s="8">
        <v>99.987</v>
      </c>
      <c r="U1135" s="7">
        <v>649</v>
      </c>
      <c r="V1135" s="6">
        <v>288</v>
      </c>
      <c r="W1135" s="6">
        <v>8</v>
      </c>
      <c r="X1135" s="6" t="s">
        <v>42</v>
      </c>
      <c r="Y1135" s="6" t="s">
        <v>73</v>
      </c>
      <c r="Z1135" s="6" t="s">
        <v>79</v>
      </c>
      <c r="AA1135" s="6" t="s">
        <v>74</v>
      </c>
      <c r="AB1135" s="6" t="s">
        <v>37</v>
      </c>
      <c r="AC1135" s="6" t="s">
        <v>53</v>
      </c>
      <c r="AD1135" s="26" t="s">
        <v>83</v>
      </c>
      <c r="AE1135" s="7">
        <v>48</v>
      </c>
      <c r="AF1135" s="6">
        <v>54</v>
      </c>
      <c r="AG1135" s="10" t="s">
        <v>40</v>
      </c>
      <c r="AH1135" s="31" t="s">
        <v>232</v>
      </c>
    </row>
    <row r="1136" ht="13.9" spans="1:34">
      <c r="A1136" s="6" t="s">
        <v>202</v>
      </c>
      <c r="B1136" s="7">
        <v>0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0.38</v>
      </c>
      <c r="T1136" s="8">
        <v>99.62</v>
      </c>
      <c r="U1136" s="7">
        <v>649</v>
      </c>
      <c r="V1136" s="6">
        <v>25</v>
      </c>
      <c r="W1136" s="6">
        <v>0</v>
      </c>
      <c r="X1136" s="6" t="s">
        <v>42</v>
      </c>
      <c r="Y1136" s="6" t="s">
        <v>73</v>
      </c>
      <c r="Z1136" s="6" t="s">
        <v>37</v>
      </c>
      <c r="AA1136" s="6" t="s">
        <v>80</v>
      </c>
      <c r="AB1136" s="6" t="s">
        <v>37</v>
      </c>
      <c r="AC1136" s="6" t="s">
        <v>53</v>
      </c>
      <c r="AD1136" s="26" t="s">
        <v>86</v>
      </c>
      <c r="AE1136" s="7">
        <v>20</v>
      </c>
      <c r="AF1136" s="6">
        <v>54</v>
      </c>
      <c r="AG1136" s="10" t="s">
        <v>40</v>
      </c>
      <c r="AH1136" s="31" t="s">
        <v>232</v>
      </c>
    </row>
    <row r="1137" ht="13.9" spans="1:34">
      <c r="A1137" s="6" t="s">
        <v>202</v>
      </c>
      <c r="B1137" s="7">
        <v>0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0.013</v>
      </c>
      <c r="T1137" s="8">
        <f>100-SUM(B1137:S1137)</f>
        <v>99.987</v>
      </c>
      <c r="U1137" s="7">
        <v>25</v>
      </c>
      <c r="V1137" s="6">
        <v>288</v>
      </c>
      <c r="W1137" s="6">
        <v>8</v>
      </c>
      <c r="X1137" s="6" t="s">
        <v>42</v>
      </c>
      <c r="Y1137" s="6" t="s">
        <v>35</v>
      </c>
      <c r="Z1137" s="6" t="s">
        <v>37</v>
      </c>
      <c r="AA1137" s="6" t="s">
        <v>74</v>
      </c>
      <c r="AB1137" s="6" t="s">
        <v>37</v>
      </c>
      <c r="AC1137" s="6" t="s">
        <v>53</v>
      </c>
      <c r="AD1137" s="26" t="s">
        <v>164</v>
      </c>
      <c r="AE1137" s="7">
        <v>14</v>
      </c>
      <c r="AF1137" s="6">
        <v>47</v>
      </c>
      <c r="AG1137" s="10" t="s">
        <v>40</v>
      </c>
      <c r="AH1137" s="31" t="s">
        <v>232</v>
      </c>
    </row>
    <row r="1138" ht="13.9" spans="1:34">
      <c r="A1138" s="6" t="s">
        <v>202</v>
      </c>
      <c r="B1138" s="7">
        <v>0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0.23</v>
      </c>
      <c r="T1138" s="8">
        <f>100-SUM(B1138:S1138)</f>
        <v>99.77</v>
      </c>
      <c r="U1138" s="7">
        <v>649</v>
      </c>
      <c r="V1138" s="6">
        <v>25</v>
      </c>
      <c r="W1138" s="6">
        <v>0</v>
      </c>
      <c r="X1138" s="6" t="s">
        <v>42</v>
      </c>
      <c r="Y1138" s="6" t="s">
        <v>73</v>
      </c>
      <c r="Z1138" s="6" t="s">
        <v>37</v>
      </c>
      <c r="AA1138" s="6" t="s">
        <v>80</v>
      </c>
      <c r="AB1138" s="6" t="s">
        <v>37</v>
      </c>
      <c r="AC1138" s="6" t="s">
        <v>53</v>
      </c>
      <c r="AD1138" s="26" t="s">
        <v>86</v>
      </c>
      <c r="AE1138" s="7">
        <v>14</v>
      </c>
      <c r="AF1138" s="6">
        <v>44</v>
      </c>
      <c r="AG1138" s="10" t="s">
        <v>40</v>
      </c>
      <c r="AH1138" s="31" t="s">
        <v>232</v>
      </c>
    </row>
    <row r="1139" ht="13.9" spans="1:34">
      <c r="A1139" s="6" t="s">
        <v>202</v>
      </c>
      <c r="B1139" s="7">
        <v>0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0.041</v>
      </c>
      <c r="T1139" s="8">
        <v>99.959</v>
      </c>
      <c r="U1139" s="7">
        <v>649</v>
      </c>
      <c r="V1139" s="6">
        <v>25</v>
      </c>
      <c r="W1139" s="6">
        <v>0</v>
      </c>
      <c r="X1139" s="6" t="s">
        <v>42</v>
      </c>
      <c r="Y1139" s="6" t="s">
        <v>73</v>
      </c>
      <c r="Z1139" s="6" t="s">
        <v>37</v>
      </c>
      <c r="AA1139" s="6" t="s">
        <v>80</v>
      </c>
      <c r="AB1139" s="6" t="s">
        <v>37</v>
      </c>
      <c r="AC1139" s="6" t="s">
        <v>53</v>
      </c>
      <c r="AD1139" s="26" t="s">
        <v>86</v>
      </c>
      <c r="AE1139" s="7">
        <v>11</v>
      </c>
      <c r="AF1139" s="6">
        <v>38</v>
      </c>
      <c r="AG1139" s="10" t="s">
        <v>40</v>
      </c>
      <c r="AH1139" s="31" t="s">
        <v>232</v>
      </c>
    </row>
    <row r="1140" ht="13.9" spans="1:34">
      <c r="A1140" s="6" t="s">
        <v>202</v>
      </c>
      <c r="B1140" s="7">
        <v>0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0.14</v>
      </c>
      <c r="T1140" s="8">
        <f>100-SUM(B1140:S1140)</f>
        <v>99.86</v>
      </c>
      <c r="U1140" s="7">
        <v>649</v>
      </c>
      <c r="V1140" s="6">
        <v>25</v>
      </c>
      <c r="W1140" s="6">
        <v>0</v>
      </c>
      <c r="X1140" s="6" t="s">
        <v>42</v>
      </c>
      <c r="Y1140" s="6" t="s">
        <v>73</v>
      </c>
      <c r="Z1140" s="6" t="s">
        <v>37</v>
      </c>
      <c r="AA1140" s="6" t="s">
        <v>80</v>
      </c>
      <c r="AB1140" s="6" t="s">
        <v>37</v>
      </c>
      <c r="AC1140" s="6" t="s">
        <v>53</v>
      </c>
      <c r="AD1140" s="26" t="s">
        <v>86</v>
      </c>
      <c r="AE1140" s="7">
        <v>15</v>
      </c>
      <c r="AF1140" s="6">
        <v>37</v>
      </c>
      <c r="AG1140" s="10" t="s">
        <v>40</v>
      </c>
      <c r="AH1140" s="31" t="s">
        <v>232</v>
      </c>
    </row>
    <row r="1141" ht="13.9" spans="1:34">
      <c r="A1141" s="6" t="s">
        <v>202</v>
      </c>
      <c r="B1141" s="7">
        <v>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0.077</v>
      </c>
      <c r="T1141" s="8">
        <v>99.923</v>
      </c>
      <c r="U1141" s="7">
        <v>649</v>
      </c>
      <c r="V1141" s="6">
        <v>25</v>
      </c>
      <c r="W1141" s="6">
        <v>0</v>
      </c>
      <c r="X1141" s="6" t="s">
        <v>42</v>
      </c>
      <c r="Y1141" s="6" t="s">
        <v>73</v>
      </c>
      <c r="Z1141" s="6" t="s">
        <v>37</v>
      </c>
      <c r="AA1141" s="6" t="s">
        <v>80</v>
      </c>
      <c r="AB1141" s="6" t="s">
        <v>37</v>
      </c>
      <c r="AC1141" s="6" t="s">
        <v>53</v>
      </c>
      <c r="AD1141" s="26" t="s">
        <v>86</v>
      </c>
      <c r="AE1141" s="7">
        <v>14</v>
      </c>
      <c r="AF1141" s="6">
        <v>37</v>
      </c>
      <c r="AG1141" s="10" t="s">
        <v>40</v>
      </c>
      <c r="AH1141" s="31" t="s">
        <v>232</v>
      </c>
    </row>
    <row r="1142" ht="13.9" spans="1:34">
      <c r="A1142" s="6" t="s">
        <v>202</v>
      </c>
      <c r="B1142" s="7">
        <v>0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0.077</v>
      </c>
      <c r="T1142" s="8">
        <v>99.923</v>
      </c>
      <c r="U1142" s="7">
        <v>649</v>
      </c>
      <c r="V1142" s="6">
        <v>288</v>
      </c>
      <c r="W1142" s="6">
        <v>8</v>
      </c>
      <c r="X1142" s="6" t="s">
        <v>42</v>
      </c>
      <c r="Y1142" s="6" t="s">
        <v>73</v>
      </c>
      <c r="Z1142" s="6" t="s">
        <v>37</v>
      </c>
      <c r="AA1142" s="6" t="s">
        <v>74</v>
      </c>
      <c r="AB1142" s="6" t="s">
        <v>37</v>
      </c>
      <c r="AC1142" s="6" t="s">
        <v>53</v>
      </c>
      <c r="AD1142" s="26" t="s">
        <v>77</v>
      </c>
      <c r="AE1142" s="7">
        <v>11</v>
      </c>
      <c r="AF1142" s="6">
        <v>37</v>
      </c>
      <c r="AG1142" s="10" t="s">
        <v>40</v>
      </c>
      <c r="AH1142" s="31" t="s">
        <v>232</v>
      </c>
    </row>
    <row r="1143" ht="13.9" spans="1:34">
      <c r="A1143" s="6" t="s">
        <v>202</v>
      </c>
      <c r="B1143" s="7">
        <v>0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0.041</v>
      </c>
      <c r="T1143" s="8">
        <v>99.959</v>
      </c>
      <c r="U1143" s="7">
        <v>649</v>
      </c>
      <c r="V1143" s="6">
        <v>288</v>
      </c>
      <c r="W1143" s="6">
        <v>8</v>
      </c>
      <c r="X1143" s="6" t="s">
        <v>42</v>
      </c>
      <c r="Y1143" s="6" t="s">
        <v>73</v>
      </c>
      <c r="Z1143" s="6" t="s">
        <v>37</v>
      </c>
      <c r="AA1143" s="6" t="s">
        <v>74</v>
      </c>
      <c r="AB1143" s="6" t="s">
        <v>37</v>
      </c>
      <c r="AC1143" s="6" t="s">
        <v>53</v>
      </c>
      <c r="AD1143" s="26" t="s">
        <v>77</v>
      </c>
      <c r="AE1143" s="7">
        <v>10</v>
      </c>
      <c r="AF1143" s="6">
        <v>37</v>
      </c>
      <c r="AG1143" s="10" t="s">
        <v>40</v>
      </c>
      <c r="AH1143" s="31" t="s">
        <v>232</v>
      </c>
    </row>
    <row r="1144" ht="13.9" spans="1:34">
      <c r="A1144" s="6" t="s">
        <v>202</v>
      </c>
      <c r="B1144" s="7">
        <v>0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0.013</v>
      </c>
      <c r="T1144" s="8">
        <v>99.987</v>
      </c>
      <c r="U1144" s="7">
        <v>649</v>
      </c>
      <c r="V1144" s="6">
        <v>25</v>
      </c>
      <c r="W1144" s="6">
        <v>0</v>
      </c>
      <c r="X1144" s="6" t="s">
        <v>42</v>
      </c>
      <c r="Y1144" s="6" t="s">
        <v>73</v>
      </c>
      <c r="Z1144" s="6" t="s">
        <v>37</v>
      </c>
      <c r="AA1144" s="6" t="s">
        <v>80</v>
      </c>
      <c r="AB1144" s="6" t="s">
        <v>37</v>
      </c>
      <c r="AC1144" s="6" t="s">
        <v>53</v>
      </c>
      <c r="AD1144" s="26" t="s">
        <v>86</v>
      </c>
      <c r="AE1144" s="7">
        <v>10</v>
      </c>
      <c r="AF1144" s="6">
        <v>36</v>
      </c>
      <c r="AG1144" s="10" t="s">
        <v>40</v>
      </c>
      <c r="AH1144" s="31" t="s">
        <v>232</v>
      </c>
    </row>
    <row r="1145" ht="13.9" spans="1:34">
      <c r="A1145" s="6" t="s">
        <v>202</v>
      </c>
      <c r="B1145" s="7">
        <v>0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0.013</v>
      </c>
      <c r="T1145" s="8">
        <f>100-SUM(B1145:S1145)</f>
        <v>99.987</v>
      </c>
      <c r="U1145" s="7">
        <v>649</v>
      </c>
      <c r="V1145" s="6">
        <v>288</v>
      </c>
      <c r="W1145" s="6">
        <v>8</v>
      </c>
      <c r="X1145" s="6" t="s">
        <v>42</v>
      </c>
      <c r="Y1145" s="6" t="s">
        <v>73</v>
      </c>
      <c r="Z1145" s="6" t="s">
        <v>37</v>
      </c>
      <c r="AA1145" s="6" t="s">
        <v>74</v>
      </c>
      <c r="AB1145" s="6" t="s">
        <v>37</v>
      </c>
      <c r="AC1145" s="6" t="s">
        <v>53</v>
      </c>
      <c r="AD1145" s="26" t="s">
        <v>77</v>
      </c>
      <c r="AE1145" s="7">
        <v>9</v>
      </c>
      <c r="AF1145" s="6">
        <v>34</v>
      </c>
      <c r="AG1145" s="10" t="s">
        <v>40</v>
      </c>
      <c r="AH1145" s="31" t="s">
        <v>232</v>
      </c>
    </row>
    <row r="1146" ht="13.9" spans="1:34">
      <c r="A1146" s="6" t="s">
        <v>202</v>
      </c>
      <c r="B1146" s="7">
        <v>0.05</v>
      </c>
      <c r="C1146" s="6">
        <v>0.05</v>
      </c>
      <c r="D1146" s="6">
        <v>2.4</v>
      </c>
      <c r="E1146" s="6">
        <v>0</v>
      </c>
      <c r="F1146" s="6">
        <v>2.6</v>
      </c>
      <c r="G1146" s="6">
        <v>0</v>
      </c>
      <c r="H1146" s="6">
        <v>8.6</v>
      </c>
      <c r="I1146" s="6">
        <v>0</v>
      </c>
      <c r="J1146" s="6">
        <v>0</v>
      </c>
      <c r="K1146" s="6">
        <v>0</v>
      </c>
      <c r="L1146" s="6">
        <v>0</v>
      </c>
      <c r="M1146" s="6">
        <v>0.1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8">
        <v>86.2</v>
      </c>
      <c r="U1146" s="7">
        <v>455</v>
      </c>
      <c r="V1146" s="6">
        <v>121</v>
      </c>
      <c r="W1146" s="6">
        <v>24</v>
      </c>
      <c r="X1146" s="6" t="s">
        <v>44</v>
      </c>
      <c r="Y1146" s="6" t="s">
        <v>73</v>
      </c>
      <c r="Z1146" s="6" t="s">
        <v>37</v>
      </c>
      <c r="AA1146" s="6" t="s">
        <v>74</v>
      </c>
      <c r="AB1146" s="6" t="s">
        <v>37</v>
      </c>
      <c r="AC1146" s="6" t="s">
        <v>51</v>
      </c>
      <c r="AD1146" s="26" t="s">
        <v>77</v>
      </c>
      <c r="AE1146" s="7">
        <v>660</v>
      </c>
      <c r="AF1146" s="6">
        <v>679</v>
      </c>
      <c r="AG1146" s="10">
        <v>12.2</v>
      </c>
      <c r="AH1146" s="48" t="s">
        <v>233</v>
      </c>
    </row>
    <row r="1147" ht="13.9" spans="1:34">
      <c r="A1147" s="6" t="s">
        <v>202</v>
      </c>
      <c r="B1147" s="7">
        <v>0.05</v>
      </c>
      <c r="C1147" s="6">
        <v>0.05</v>
      </c>
      <c r="D1147" s="6">
        <v>2.4</v>
      </c>
      <c r="E1147" s="6">
        <v>0</v>
      </c>
      <c r="F1147" s="6">
        <v>2.6</v>
      </c>
      <c r="G1147" s="6">
        <v>0</v>
      </c>
      <c r="H1147" s="6">
        <v>8.6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8">
        <v>86.3</v>
      </c>
      <c r="U1147" s="7">
        <v>455</v>
      </c>
      <c r="V1147" s="6">
        <v>121</v>
      </c>
      <c r="W1147" s="6">
        <v>24</v>
      </c>
      <c r="X1147" s="6" t="s">
        <v>44</v>
      </c>
      <c r="Y1147" s="6" t="s">
        <v>73</v>
      </c>
      <c r="Z1147" s="6" t="s">
        <v>37</v>
      </c>
      <c r="AA1147" s="6" t="s">
        <v>74</v>
      </c>
      <c r="AB1147" s="6" t="s">
        <v>37</v>
      </c>
      <c r="AC1147" s="6" t="s">
        <v>51</v>
      </c>
      <c r="AD1147" s="26" t="s">
        <v>77</v>
      </c>
      <c r="AE1147" s="7">
        <v>649</v>
      </c>
      <c r="AF1147" s="6">
        <v>672</v>
      </c>
      <c r="AG1147" s="10">
        <v>12.4</v>
      </c>
      <c r="AH1147" s="48" t="s">
        <v>233</v>
      </c>
    </row>
    <row r="1148" ht="13.9" spans="1:34">
      <c r="A1148" s="6" t="s">
        <v>202</v>
      </c>
      <c r="B1148" s="7">
        <v>0</v>
      </c>
      <c r="C1148" s="6">
        <v>0</v>
      </c>
      <c r="D1148" s="6">
        <v>0</v>
      </c>
      <c r="E1148" s="6">
        <v>0.35</v>
      </c>
      <c r="F1148" s="6">
        <v>5</v>
      </c>
      <c r="G1148" s="6">
        <v>0.15</v>
      </c>
      <c r="H1148" s="6">
        <v>0</v>
      </c>
      <c r="I1148" s="6">
        <v>0</v>
      </c>
      <c r="J1148" s="6">
        <v>0.18</v>
      </c>
      <c r="K1148" s="6">
        <v>0.15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8">
        <v>94.17</v>
      </c>
      <c r="U1148" s="7">
        <v>25</v>
      </c>
      <c r="V1148" s="6">
        <v>25</v>
      </c>
      <c r="W1148" s="6">
        <v>0</v>
      </c>
      <c r="X1148" s="6" t="s">
        <v>44</v>
      </c>
      <c r="Y1148" s="6" t="s">
        <v>35</v>
      </c>
      <c r="Z1148" s="6" t="s">
        <v>37</v>
      </c>
      <c r="AA1148" s="6" t="s">
        <v>37</v>
      </c>
      <c r="AB1148" s="6" t="s">
        <v>37</v>
      </c>
      <c r="AC1148" s="6" t="s">
        <v>69</v>
      </c>
      <c r="AD1148" s="26" t="s">
        <v>52</v>
      </c>
      <c r="AE1148" s="7">
        <v>211</v>
      </c>
      <c r="AF1148" s="6">
        <v>374</v>
      </c>
      <c r="AG1148" s="10">
        <v>18.3</v>
      </c>
      <c r="AH1148" s="48" t="s">
        <v>234</v>
      </c>
    </row>
    <row r="1149" ht="13.9" spans="1:34">
      <c r="A1149" s="6" t="s">
        <v>202</v>
      </c>
      <c r="B1149" s="7">
        <v>0</v>
      </c>
      <c r="C1149" s="6">
        <v>0</v>
      </c>
      <c r="D1149" s="6">
        <v>4.25</v>
      </c>
      <c r="E1149" s="6">
        <v>0.39</v>
      </c>
      <c r="F1149" s="6">
        <v>0.37</v>
      </c>
      <c r="G1149" s="6">
        <v>0</v>
      </c>
      <c r="H1149" s="6">
        <v>0.61</v>
      </c>
      <c r="I1149" s="6">
        <v>0</v>
      </c>
      <c r="J1149" s="6">
        <v>0</v>
      </c>
      <c r="K1149" s="6">
        <v>0.12</v>
      </c>
      <c r="L1149" s="6">
        <v>1.01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0.28</v>
      </c>
      <c r="T1149" s="8">
        <f>100-SUM(B1149:S1149)</f>
        <v>92.97</v>
      </c>
      <c r="U1149" s="7">
        <v>520</v>
      </c>
      <c r="V1149" s="6">
        <v>180</v>
      </c>
      <c r="W1149" s="6">
        <v>24</v>
      </c>
      <c r="X1149" s="6" t="s">
        <v>44</v>
      </c>
      <c r="Y1149" s="6" t="s">
        <v>73</v>
      </c>
      <c r="Z1149" s="6" t="s">
        <v>37</v>
      </c>
      <c r="AA1149" s="6" t="s">
        <v>74</v>
      </c>
      <c r="AB1149" s="6" t="s">
        <v>37</v>
      </c>
      <c r="AC1149" s="6" t="s">
        <v>51</v>
      </c>
      <c r="AD1149" s="26" t="s">
        <v>77</v>
      </c>
      <c r="AE1149" s="7">
        <v>474</v>
      </c>
      <c r="AF1149" s="6">
        <v>533</v>
      </c>
      <c r="AG1149" s="10">
        <v>4.7</v>
      </c>
      <c r="AH1149" s="48" t="s">
        <v>235</v>
      </c>
    </row>
    <row r="1150" ht="13.9" spans="1:34">
      <c r="A1150" s="6" t="s">
        <v>202</v>
      </c>
      <c r="B1150" s="7">
        <v>0</v>
      </c>
      <c r="C1150" s="6">
        <v>0</v>
      </c>
      <c r="D1150" s="6">
        <v>0</v>
      </c>
      <c r="E1150" s="6">
        <v>0</v>
      </c>
      <c r="F1150" s="6">
        <v>5</v>
      </c>
      <c r="G1150" s="6">
        <v>0</v>
      </c>
      <c r="H1150" s="6">
        <v>0</v>
      </c>
      <c r="I1150" s="6">
        <v>0</v>
      </c>
      <c r="J1150" s="6">
        <v>0</v>
      </c>
      <c r="K1150" s="6">
        <v>0.1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8">
        <v>94.9</v>
      </c>
      <c r="U1150" s="7">
        <v>25</v>
      </c>
      <c r="V1150" s="6">
        <v>25</v>
      </c>
      <c r="W1150" s="6">
        <v>0</v>
      </c>
      <c r="X1150" s="6" t="s">
        <v>42</v>
      </c>
      <c r="Y1150" s="6" t="s">
        <v>35</v>
      </c>
      <c r="Z1150" s="6" t="s">
        <v>37</v>
      </c>
      <c r="AA1150" s="6" t="s">
        <v>37</v>
      </c>
      <c r="AB1150" s="6" t="s">
        <v>37</v>
      </c>
      <c r="AC1150" s="6" t="s">
        <v>59</v>
      </c>
      <c r="AD1150" s="26" t="s">
        <v>52</v>
      </c>
      <c r="AE1150" s="7">
        <v>129</v>
      </c>
      <c r="AF1150" s="6">
        <v>272</v>
      </c>
      <c r="AG1150" s="10">
        <v>26</v>
      </c>
      <c r="AH1150" s="48" t="s">
        <v>236</v>
      </c>
    </row>
    <row r="1151" ht="13.9" spans="1:34">
      <c r="A1151" s="6" t="s">
        <v>202</v>
      </c>
      <c r="B1151" s="7">
        <v>0</v>
      </c>
      <c r="C1151" s="6">
        <v>0</v>
      </c>
      <c r="D1151" s="6">
        <v>0</v>
      </c>
      <c r="E1151" s="6">
        <v>0</v>
      </c>
      <c r="F1151" s="6">
        <v>5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8">
        <v>95</v>
      </c>
      <c r="U1151" s="7">
        <v>25</v>
      </c>
      <c r="V1151" s="6">
        <v>25</v>
      </c>
      <c r="W1151" s="6">
        <v>0</v>
      </c>
      <c r="X1151" s="6" t="s">
        <v>42</v>
      </c>
      <c r="Y1151" s="6" t="s">
        <v>35</v>
      </c>
      <c r="Z1151" s="6" t="s">
        <v>37</v>
      </c>
      <c r="AA1151" s="6" t="s">
        <v>37</v>
      </c>
      <c r="AB1151" s="6" t="s">
        <v>37</v>
      </c>
      <c r="AC1151" s="6" t="s">
        <v>59</v>
      </c>
      <c r="AD1151" s="26" t="s">
        <v>52</v>
      </c>
      <c r="AE1151" s="7">
        <v>115</v>
      </c>
      <c r="AF1151" s="6">
        <v>260</v>
      </c>
      <c r="AG1151" s="10">
        <v>31</v>
      </c>
      <c r="AH1151" s="48" t="s">
        <v>236</v>
      </c>
    </row>
  </sheetData>
  <autoFilter xmlns:etc="http://www.wps.cn/officeDocument/2017/etCustomData" ref="A1:AH1151" etc:filterBottomFollowUsedRange="0">
    <extLst/>
  </autoFilter>
  <pageMargins left="0.7" right="0.7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TCC。</cp:lastModifiedBy>
  <dcterms:created xsi:type="dcterms:W3CDTF">2015-06-05T18:17:00Z</dcterms:created>
  <dcterms:modified xsi:type="dcterms:W3CDTF">2025-08-21T07:04:17Z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b064b5-5911-4077-b076-dd8db707b7e6_Enabled">
    <vt:lpwstr>true</vt:lpwstr>
  </property>
  <property fmtid="{D5CDD505-2E9C-101B-9397-08002B2CF9AE}" pid="3" name="MSIP_Label_adb064b5-5911-4077-b076-dd8db707b7e6_SetDate">
    <vt:lpwstr>2022-03-21T06:26:25Z</vt:lpwstr>
  </property>
  <property fmtid="{D5CDD505-2E9C-101B-9397-08002B2CF9AE}" pid="4" name="MSIP_Label_adb064b5-5911-4077-b076-dd8db707b7e6_Method">
    <vt:lpwstr>Privileged</vt:lpwstr>
  </property>
  <property fmtid="{D5CDD505-2E9C-101B-9397-08002B2CF9AE}" pid="5" name="MSIP_Label_adb064b5-5911-4077-b076-dd8db707b7e6_Name">
    <vt:lpwstr>UNOFFICIAL</vt:lpwstr>
  </property>
  <property fmtid="{D5CDD505-2E9C-101B-9397-08002B2CF9AE}" pid="6" name="MSIP_Label_adb064b5-5911-4077-b076-dd8db707b7e6_SiteId">
    <vt:lpwstr>b6e377cf-9db3-46cb-91a2-fad9605bb15c</vt:lpwstr>
  </property>
  <property fmtid="{D5CDD505-2E9C-101B-9397-08002B2CF9AE}" pid="7" name="MSIP_Label_adb064b5-5911-4077-b076-dd8db707b7e6_ActionId">
    <vt:lpwstr>f0143bd6-9c8e-464a-be34-58ba4f2c4bde</vt:lpwstr>
  </property>
  <property fmtid="{D5CDD505-2E9C-101B-9397-08002B2CF9AE}" pid="8" name="MSIP_Label_adb064b5-5911-4077-b076-dd8db707b7e6_ContentBits">
    <vt:lpwstr>0</vt:lpwstr>
  </property>
  <property fmtid="{D5CDD505-2E9C-101B-9397-08002B2CF9AE}" pid="9" name="ICV">
    <vt:lpwstr>2DD7593C48D14D6D87B02FE127FB05A9_12</vt:lpwstr>
  </property>
  <property fmtid="{D5CDD505-2E9C-101B-9397-08002B2CF9AE}" pid="10" name="KSOProductBuildVer">
    <vt:lpwstr>2052-12.1.0.21915</vt:lpwstr>
  </property>
</Properties>
</file>